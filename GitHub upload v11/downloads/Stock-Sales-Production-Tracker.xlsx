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omments6.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tart here" sheetId="1" state="visible" r:id="rId3"/>
    <sheet name="Dashboard" sheetId="2" state="visible" r:id="rId4"/>
    <sheet name="Settings" sheetId="3" state="visible" r:id="rId5"/>
    <sheet name="Products" sheetId="4" state="visible" r:id="rId6"/>
    <sheet name="Sales" sheetId="5" state="visible" r:id="rId7"/>
    <sheet name="Production" sheetId="6" state="visible" r:id="rId8"/>
  </sheets>
  <definedNames>
    <definedName function="false" hidden="true" localSheetId="5" name="_xlnm._FilterDatabase" vbProcedure="false">Production!$B$6:$K$204</definedName>
    <definedName function="false" hidden="true" localSheetId="3" name="_xlnm._FilterDatabase" vbProcedure="false">Products!$B$6:$R$104</definedName>
    <definedName function="false" hidden="true" localSheetId="4" name="_xlnm._FilterDatabase" vbProcedure="false">Sales!$B$6:$I$504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Example value. Set your own: what an hour of your time costs you.</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Examples from an imaginary studio. Delete and add yours.</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Example sales. Dates follow today so the dashboard is alive. Delete and type real dates.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Example jobs. Delete and add yours.</t>
        </r>
      </text>
    </comment>
  </commentList>
</comments>
</file>

<file path=xl/sharedStrings.xml><?xml version="1.0" encoding="utf-8"?>
<sst xmlns="http://schemas.openxmlformats.org/spreadsheetml/2006/main" count="184" uniqueCount="124">
  <si>
    <t xml:space="preserve">FREE TOOL · 2026</t>
  </si>
  <si>
    <t xml:space="preserve">Stock, Sales &amp; Production</t>
  </si>
  <si>
    <t xml:space="preserve">For any small business that makes or sells products. Free tool by Houssem Gabsi.</t>
  </si>
  <si>
    <t xml:space="preserve">What it does</t>
  </si>
  <si>
    <t xml:space="preserve">One place for your products, your sales and the work in progress. It tells you what to make or reorder, what sells, what is late, and what each product really costs you, including your time.</t>
  </si>
  <si>
    <t xml:space="preserve">Who it is for</t>
  </si>
  <si>
    <t xml:space="preserve">Makers, shops and studios: candles, cosmetics, ceramics, clothing, food, prints, jewelry, furniture, or anything you buy and resell.</t>
  </si>
  <si>
    <t xml:space="preserve">Start in 10 minutes</t>
  </si>
  <si>
    <t xml:space="preserve">1   Settings: your currency, what one hour of your work is worth, your sales channels and your work steps.</t>
  </si>
  <si>
    <t xml:space="preserve">2   Products: one row per product. Cost per unit (materials, or what you pay to buy it), making time (0 if you resell), price, stock today, and when to restock.</t>
  </si>
  <si>
    <t xml:space="preserve">3   Sales: one row per sale. Pick the product from the list, type the quantity. Leave the price empty to use the list price.</t>
  </si>
  <si>
    <t xml:space="preserve">4   Production: one row per batch or custom order. Move the step as you go. At "Done", the units are added to your stock.</t>
  </si>
  <si>
    <t xml:space="preserve">5   Dashboard: read it every Monday. It updates by itself.</t>
  </si>
  <si>
    <t xml:space="preserve">The only rule</t>
  </si>
  <si>
    <t xml:space="preserve">Type in the warm yellow cells only. Everything else is a formula.</t>
  </si>
  <si>
    <t xml:space="preserve">The examples</t>
  </si>
  <si>
    <t xml:space="preserve">The rows already filled in come from an imaginary studio, so you can see it working. Their dates follow today. Delete them and add your own.</t>
  </si>
  <si>
    <t xml:space="preserve">Want it to run by itself?</t>
  </si>
  <si>
    <t xml:space="preserve">This version works by hand. I build versions connected to your shop, Instagram, WhatsApp or invoices, so stock and sales update on their own.</t>
  </si>
  <si>
    <t xml:space="preserve">unfollow.designs@gmail.com  ·  Houssem Gabsi, Tunis, working worldwide</t>
  </si>
  <si>
    <t xml:space="preserve">DASHBOARD</t>
  </si>
  <si>
    <t xml:space="preserve">This week</t>
  </si>
  <si>
    <t xml:space="preserve">Everything here updates by itself. Read it every Monday.</t>
  </si>
  <si>
    <t xml:space="preserve">Revenue in period</t>
  </si>
  <si>
    <t xml:space="preserve">Units sold in period</t>
  </si>
  <si>
    <t xml:space="preserve">Average margin</t>
  </si>
  <si>
    <t xml:space="preserve">Products to restock</t>
  </si>
  <si>
    <t xml:space="preserve">Late jobs</t>
  </si>
  <si>
    <t xml:space="preserve">Stock value (at cost)</t>
  </si>
  <si>
    <t xml:space="preserve">Best seller</t>
  </si>
  <si>
    <t xml:space="preserve">This week, do this</t>
  </si>
  <si>
    <t xml:space="preserve">Channel</t>
  </si>
  <si>
    <t xml:space="preserve">Revenue (period)</t>
  </si>
  <si>
    <t xml:space="preserve">Revenue, last 8 weeks</t>
  </si>
  <si>
    <t xml:space="preserve">Free tool by Houssem Gabsi  ·  Want it connected to your shop so it updates itself?  unfollow.designs@gmail.com</t>
  </si>
  <si>
    <t xml:space="preserve">Chart data (updates itself)</t>
  </si>
  <si>
    <t xml:space="preserve">Week of</t>
  </si>
  <si>
    <t xml:space="preserve">Revenue</t>
  </si>
  <si>
    <t xml:space="preserve">SETUP</t>
  </si>
  <si>
    <t xml:space="preserve">Settings</t>
  </si>
  <si>
    <t xml:space="preserve">Your numbers and your lists.</t>
  </si>
  <si>
    <t xml:space="preserve">Work steps</t>
  </si>
  <si>
    <t xml:space="preserve">Sales channels</t>
  </si>
  <si>
    <t xml:space="preserve">Currency (label)</t>
  </si>
  <si>
    <t xml:space="preserve">TND</t>
  </si>
  <si>
    <t xml:space="preserve">To do</t>
  </si>
  <si>
    <t xml:space="preserve">Instagram</t>
  </si>
  <si>
    <t xml:space="preserve">One hour of your work is worth</t>
  </si>
  <si>
    <t xml:space="preserve">Making</t>
  </si>
  <si>
    <t xml:space="preserve">Website</t>
  </si>
  <si>
    <t xml:space="preserve">Today's date</t>
  </si>
  <si>
    <t xml:space="preserve">Finishing</t>
  </si>
  <si>
    <t xml:space="preserve">Marketplace</t>
  </si>
  <si>
    <t xml:space="preserve">Period start</t>
  </si>
  <si>
    <t xml:space="preserve">Quality check</t>
  </si>
  <si>
    <t xml:space="preserve">Shop / in person</t>
  </si>
  <si>
    <t xml:space="preserve">Period end</t>
  </si>
  <si>
    <t xml:space="preserve">Packing</t>
  </si>
  <si>
    <t xml:space="preserve">WhatsApp</t>
  </si>
  <si>
    <t xml:space="preserve">"Due soon" warning (days)</t>
  </si>
  <si>
    <t xml:space="preserve">Done</t>
  </si>
  <si>
    <t xml:space="preserve">Wholesale</t>
  </si>
  <si>
    <t xml:space="preserve">Change the period to look at any month. Default: last 30 days.</t>
  </si>
  <si>
    <t xml:space="preserve">Keep "Done" last.</t>
  </si>
  <si>
    <t xml:space="preserve">STOCK</t>
  </si>
  <si>
    <t xml:space="preserve">Products</t>
  </si>
  <si>
    <t xml:space="preserve">One row per product. Warm cells are yours, the rest calculates itself.</t>
  </si>
  <si>
    <t xml:space="preserve">SKU</t>
  </si>
  <si>
    <t xml:space="preserve">Product</t>
  </si>
  <si>
    <t xml:space="preserve">Category</t>
  </si>
  <si>
    <t xml:space="preserve">Cost per unit</t>
  </si>
  <si>
    <t xml:space="preserve">Making time (min)</t>
  </si>
  <si>
    <t xml:space="preserve">Price</t>
  </si>
  <si>
    <t xml:space="preserve">Stock at start</t>
  </si>
  <si>
    <t xml:space="preserve">Restock at</t>
  </si>
  <si>
    <t xml:space="preserve">Real cost per unit</t>
  </si>
  <si>
    <t xml:space="preserve">Margin</t>
  </si>
  <si>
    <t xml:space="preserve">Made (jobs done)</t>
  </si>
  <si>
    <t xml:space="preserve">Sold (all time)</t>
  </si>
  <si>
    <t xml:space="preserve">In stock</t>
  </si>
  <si>
    <t xml:space="preserve">Sold in period</t>
  </si>
  <si>
    <t xml:space="preserve">Days of stock left</t>
  </si>
  <si>
    <t xml:space="preserve">Status</t>
  </si>
  <si>
    <t xml:space="preserve">Stock value</t>
  </si>
  <si>
    <t xml:space="preserve">CND-01</t>
  </si>
  <si>
    <t xml:space="preserve">Fig candle</t>
  </si>
  <si>
    <t xml:space="preserve">Candles</t>
  </si>
  <si>
    <t xml:space="preserve">CND-02</t>
  </si>
  <si>
    <t xml:space="preserve">Cedar candle</t>
  </si>
  <si>
    <t xml:space="preserve">CER-01</t>
  </si>
  <si>
    <t xml:space="preserve">Stoneware mug</t>
  </si>
  <si>
    <t xml:space="preserve">Ceramics</t>
  </si>
  <si>
    <t xml:space="preserve">CER-02</t>
  </si>
  <si>
    <t xml:space="preserve">Serving bowl</t>
  </si>
  <si>
    <t xml:space="preserve">TXT-01</t>
  </si>
  <si>
    <t xml:space="preserve">Linen tote</t>
  </si>
  <si>
    <t xml:space="preserve">Textile</t>
  </si>
  <si>
    <t xml:space="preserve">PRN-01</t>
  </si>
  <si>
    <t xml:space="preserve">Art print A3</t>
  </si>
  <si>
    <t xml:space="preserve">Prints</t>
  </si>
  <si>
    <t xml:space="preserve">SALES</t>
  </si>
  <si>
    <t xml:space="preserve">Sales</t>
  </si>
  <si>
    <t xml:space="preserve">One row per sale. Leave the price empty to use the list price.</t>
  </si>
  <si>
    <t xml:space="preserve">Date</t>
  </si>
  <si>
    <t xml:space="preserve">Qty</t>
  </si>
  <si>
    <t xml:space="preserve">Price (if different)</t>
  </si>
  <si>
    <t xml:space="preserve">Price used</t>
  </si>
  <si>
    <t xml:space="preserve">WORK IN PROGRESS</t>
  </si>
  <si>
    <t xml:space="preserve">Production</t>
  </si>
  <si>
    <t xml:space="preserve">Batches and custom orders. At "Done", units go into stock.</t>
  </si>
  <si>
    <t xml:space="preserve">Job</t>
  </si>
  <si>
    <t xml:space="preserve">For (client or stock)</t>
  </si>
  <si>
    <t xml:space="preserve">Step</t>
  </si>
  <si>
    <t xml:space="preserve">Start</t>
  </si>
  <si>
    <t xml:space="preserve">Due</t>
  </si>
  <si>
    <t xml:space="preserve">Days left</t>
  </si>
  <si>
    <t xml:space="preserve">J-01</t>
  </si>
  <si>
    <t xml:space="preserve">Stock</t>
  </si>
  <si>
    <t xml:space="preserve">J-02</t>
  </si>
  <si>
    <t xml:space="preserve">J-03</t>
  </si>
  <si>
    <t xml:space="preserve">Client: custom set</t>
  </si>
  <si>
    <t xml:space="preserve">J-04</t>
  </si>
  <si>
    <t xml:space="preserve">J-05</t>
  </si>
  <si>
    <t xml:space="preserve">Wholesale order</t>
  </si>
</sst>
</file>

<file path=xl/styles.xml><?xml version="1.0" encoding="utf-8"?>
<styleSheet xmlns="http://schemas.openxmlformats.org/spreadsheetml/2006/main">
  <numFmts count="7">
    <numFmt numFmtId="164" formatCode="General"/>
    <numFmt numFmtId="165" formatCode="#,##0"/>
    <numFmt numFmtId="166" formatCode="0"/>
    <numFmt numFmtId="167" formatCode="0%"/>
    <numFmt numFmtId="168" formatCode="#,##0.00;\(#,##0.00\);\–"/>
    <numFmt numFmtId="169" formatCode="dd\ mmm\ yyyy"/>
    <numFmt numFmtId="170" formatCode="General"/>
  </numFmts>
  <fonts count="25">
    <font>
      <sz val="11"/>
      <color theme="1"/>
      <name val="Calibri"/>
      <family val="2"/>
      <charset val="1"/>
    </font>
    <font>
      <sz val="10"/>
      <name val="Arial"/>
      <family val="0"/>
    </font>
    <font>
      <sz val="10"/>
      <name val="Arial"/>
      <family val="0"/>
    </font>
    <font>
      <sz val="10"/>
      <name val="Arial"/>
      <family val="0"/>
    </font>
    <font>
      <sz val="9"/>
      <color rgb="FF8C8983"/>
      <name val="Aptos"/>
      <family val="0"/>
      <charset val="1"/>
    </font>
    <font>
      <b val="true"/>
      <sz val="26"/>
      <color rgb="FF111111"/>
      <name val="Aptos"/>
      <family val="0"/>
      <charset val="1"/>
    </font>
    <font>
      <sz val="10.5"/>
      <color rgb="FF8C8983"/>
      <name val="Aptos"/>
      <family val="0"/>
      <charset val="1"/>
    </font>
    <font>
      <b val="true"/>
      <sz val="12.5"/>
      <color rgb="FF111111"/>
      <name val="Aptos"/>
      <family val="0"/>
      <charset val="1"/>
    </font>
    <font>
      <sz val="10.5"/>
      <color rgb="FF333333"/>
      <name val="Aptos"/>
      <family val="0"/>
      <charset val="1"/>
    </font>
    <font>
      <b val="true"/>
      <sz val="11"/>
      <color rgb="FFE2321B"/>
      <name val="Aptos"/>
      <family val="0"/>
      <charset val="1"/>
    </font>
    <font>
      <sz val="10"/>
      <color rgb="FF8C8983"/>
      <name val="Aptos"/>
      <family val="0"/>
      <charset val="1"/>
    </font>
    <font>
      <sz val="9.5"/>
      <color rgb="FF8C8983"/>
      <name val="Aptos"/>
      <family val="0"/>
      <charset val="1"/>
    </font>
    <font>
      <b val="true"/>
      <sz val="28"/>
      <color rgb="FF111111"/>
      <name val="Aptos"/>
      <family val="0"/>
      <charset val="1"/>
    </font>
    <font>
      <b val="true"/>
      <sz val="9.5"/>
      <name val="Aptos"/>
      <family val="0"/>
      <charset val="1"/>
    </font>
    <font>
      <b val="true"/>
      <sz val="18"/>
      <name val="Aptos"/>
      <family val="0"/>
      <charset val="1"/>
    </font>
    <font>
      <sz val="11"/>
      <name val="Aptos"/>
      <family val="0"/>
      <charset val="1"/>
    </font>
    <font>
      <sz val="10"/>
      <name val="Aptos"/>
      <family val="0"/>
      <charset val="1"/>
    </font>
    <font>
      <sz val="9.5"/>
      <color rgb="FFE2321B"/>
      <name val="Aptos"/>
      <family val="0"/>
      <charset val="1"/>
    </font>
    <font>
      <sz val="10"/>
      <color rgb="FF000000"/>
      <name val="Calibri"/>
      <family val="2"/>
    </font>
    <font>
      <sz val="10.5"/>
      <name val="Aptos"/>
      <family val="0"/>
      <charset val="1"/>
    </font>
    <font>
      <b val="true"/>
      <sz val="11"/>
      <name val="Aptos"/>
      <family val="0"/>
      <charset val="1"/>
    </font>
    <font>
      <i val="true"/>
      <sz val="9"/>
      <color rgb="FF8C8983"/>
      <name val="Aptos"/>
      <family val="0"/>
      <charset val="1"/>
    </font>
    <font>
      <sz val="10"/>
      <name val="Arial"/>
      <family val="2"/>
    </font>
    <font>
      <b val="true"/>
      <sz val="9.5"/>
      <color rgb="FF111111"/>
      <name val="Aptos"/>
      <family val="0"/>
      <charset val="1"/>
    </font>
    <font>
      <sz val="10.5"/>
      <color rgb="FF111111"/>
      <name val="Aptos"/>
      <family val="0"/>
      <charset val="1"/>
    </font>
  </fonts>
  <fills count="4">
    <fill>
      <patternFill patternType="none"/>
    </fill>
    <fill>
      <patternFill patternType="gray125"/>
    </fill>
    <fill>
      <patternFill patternType="solid">
        <fgColor rgb="FFF4F3F0"/>
        <bgColor rgb="FFFFF6DC"/>
      </patternFill>
    </fill>
    <fill>
      <patternFill patternType="solid">
        <fgColor rgb="FFFFF6DC"/>
        <bgColor rgb="FFFFEFC7"/>
      </patternFill>
    </fill>
  </fills>
  <borders count="4">
    <border diagonalUp="false" diagonalDown="false">
      <left/>
      <right/>
      <top/>
      <bottom/>
      <diagonal/>
    </border>
    <border diagonalUp="false" diagonalDown="false">
      <left/>
      <right/>
      <top style="medium">
        <color rgb="FF111111"/>
      </top>
      <bottom/>
      <diagonal/>
    </border>
    <border diagonalUp="false" diagonalDown="false">
      <left/>
      <right/>
      <top/>
      <bottom style="medium">
        <color rgb="FF111111"/>
      </bottom>
      <diagonal/>
    </border>
    <border diagonalUp="false" diagonalDown="false">
      <left/>
      <right/>
      <top/>
      <bottom style="thin">
        <color rgb="FFD9D6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5" fontId="12" fillId="2" borderId="0" xfId="0" applyFont="true" applyBorder="true" applyAlignment="true" applyProtection="false">
      <alignment horizontal="left" vertical="top" textRotation="0" wrapText="false" indent="0" shrinkToFit="false"/>
      <protection locked="true" hidden="false"/>
    </xf>
    <xf numFmtId="166" fontId="12" fillId="2" borderId="0" xfId="0" applyFont="true" applyBorder="true" applyAlignment="true" applyProtection="false">
      <alignment horizontal="left" vertical="top" textRotation="0" wrapText="false" indent="0" shrinkToFit="false"/>
      <protection locked="true" hidden="false"/>
    </xf>
    <xf numFmtId="167" fontId="12" fillId="2" borderId="0" xfId="0" applyFont="true" applyBorder="true" applyAlignment="true" applyProtection="false">
      <alignment horizontal="lef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13" fillId="2" borderId="2"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true" applyAlignment="false" applyProtection="false">
      <alignment horizontal="general" vertical="bottom" textRotation="0" wrapText="false" indent="0" shrinkToFit="false"/>
      <protection locked="true" hidden="false"/>
    </xf>
    <xf numFmtId="164" fontId="16" fillId="2" borderId="3" xfId="0" applyFont="true" applyBorder="true" applyAlignment="false" applyProtection="false">
      <alignment horizontal="general" vertical="bottom" textRotation="0" wrapText="false" indent="0" shrinkToFit="false"/>
      <protection locked="true" hidden="false"/>
    </xf>
    <xf numFmtId="165" fontId="16" fillId="2" borderId="3" xfId="0" applyFont="true" applyBorder="tru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5" fontId="11" fillId="2"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20" fillId="3" borderId="3" xfId="0" applyFont="true" applyBorder="true" applyAlignment="false" applyProtection="true">
      <alignment horizontal="general" vertical="bottom" textRotation="0" wrapText="false" indent="0" shrinkToFit="false"/>
      <protection locked="false" hidden="false"/>
    </xf>
    <xf numFmtId="164" fontId="19" fillId="3" borderId="3" xfId="0" applyFont="true" applyBorder="true" applyAlignment="false" applyProtection="true">
      <alignment horizontal="general" vertical="bottom" textRotation="0" wrapText="false" indent="0" shrinkToFit="false"/>
      <protection locked="false" hidden="false"/>
    </xf>
    <xf numFmtId="168" fontId="20" fillId="3" borderId="3" xfId="0" applyFont="true" applyBorder="true" applyAlignment="false" applyProtection="true">
      <alignment horizontal="general" vertical="bottom" textRotation="0" wrapText="false" indent="0" shrinkToFit="false"/>
      <protection locked="false" hidden="false"/>
    </xf>
    <xf numFmtId="169" fontId="20" fillId="2" borderId="3" xfId="0" applyFont="true" applyBorder="true" applyAlignment="false" applyProtection="false">
      <alignment horizontal="general" vertical="bottom" textRotation="0" wrapText="false" indent="0" shrinkToFit="false"/>
      <protection locked="true" hidden="false"/>
    </xf>
    <xf numFmtId="169" fontId="20" fillId="3" borderId="3" xfId="0" applyFont="true" applyBorder="true" applyAlignment="false" applyProtection="true">
      <alignment horizontal="general" vertical="bottom" textRotation="0" wrapText="false" indent="0" shrinkToFit="false"/>
      <protection locked="false" hidden="false"/>
    </xf>
    <xf numFmtId="164" fontId="19" fillId="2" borderId="3" xfId="0" applyFont="true" applyBorder="true" applyAlignment="false" applyProtection="false">
      <alignment horizontal="general" vertical="bottom" textRotation="0" wrapText="fals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3" fillId="2" borderId="2" xfId="0" applyFont="true" applyBorder="true" applyAlignment="true" applyProtection="false">
      <alignment horizontal="general" vertical="bottom" textRotation="0" wrapText="true" indent="0" shrinkToFit="false"/>
      <protection locked="true" hidden="false"/>
    </xf>
    <xf numFmtId="164" fontId="24" fillId="3" borderId="3" xfId="0" applyFont="true" applyBorder="true" applyAlignment="true" applyProtection="true">
      <alignment horizontal="general" vertical="center" textRotation="0" wrapText="false" indent="0" shrinkToFit="false"/>
      <protection locked="false" hidden="false"/>
    </xf>
    <xf numFmtId="168" fontId="24" fillId="3" borderId="3" xfId="0" applyFont="true" applyBorder="true" applyAlignment="true" applyProtection="true">
      <alignment horizontal="general" vertical="center" textRotation="0" wrapText="false" indent="0" shrinkToFit="false"/>
      <protection locked="false" hidden="false"/>
    </xf>
    <xf numFmtId="168" fontId="24" fillId="2" borderId="3" xfId="0" applyFont="true" applyBorder="true" applyAlignment="true" applyProtection="false">
      <alignment horizontal="general" vertical="center" textRotation="0" wrapText="false" indent="0" shrinkToFit="false"/>
      <protection locked="true" hidden="false"/>
    </xf>
    <xf numFmtId="167" fontId="24" fillId="2" borderId="3" xfId="0" applyFont="true" applyBorder="true" applyAlignment="true" applyProtection="false">
      <alignment horizontal="general" vertical="center" textRotation="0" wrapText="false" indent="0" shrinkToFit="false"/>
      <protection locked="true" hidden="false"/>
    </xf>
    <xf numFmtId="170" fontId="24" fillId="2" borderId="3" xfId="0" applyFont="true" applyBorder="true" applyAlignment="true" applyProtection="false">
      <alignment horizontal="general" vertical="center" textRotation="0" wrapText="false" indent="0" shrinkToFit="false"/>
      <protection locked="true" hidden="false"/>
    </xf>
    <xf numFmtId="166" fontId="24" fillId="2" borderId="3" xfId="0" applyFont="true" applyBorder="true" applyAlignment="true" applyProtection="false">
      <alignment horizontal="general" vertical="center" textRotation="0" wrapText="false" indent="0" shrinkToFit="false"/>
      <protection locked="true" hidden="false"/>
    </xf>
    <xf numFmtId="164" fontId="24" fillId="2" borderId="3" xfId="0" applyFont="true" applyBorder="true" applyAlignment="true" applyProtection="false">
      <alignment horizontal="general" vertical="center" textRotation="0" wrapText="false" indent="0" shrinkToFit="false"/>
      <protection locked="true" hidden="false"/>
    </xf>
    <xf numFmtId="169" fontId="24" fillId="3" borderId="3" xfId="0" applyFont="true" applyBorder="true" applyAlignment="true" applyProtection="true">
      <alignment horizontal="general" vertical="center"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ont>
        <name val="Aptos"/>
        <charset val="1"/>
        <family val="0"/>
        <b val="1"/>
        <color rgb="FFE2321B"/>
        <sz val="28"/>
      </font>
    </dxf>
    <dxf>
      <fill>
        <patternFill patternType="solid">
          <fgColor rgb="FFF4F3F0"/>
          <bgColor rgb="FF000000"/>
        </patternFill>
      </fill>
    </dxf>
    <dxf>
      <fill>
        <patternFill patternType="solid">
          <fgColor rgb="FFFFF6DC"/>
          <bgColor rgb="FF000000"/>
        </patternFill>
      </fill>
    </dxf>
    <dxf>
      <fill>
        <patternFill patternType="solid">
          <fgColor rgb="FF111111"/>
          <bgColor rgb="FF000000"/>
        </patternFill>
      </fill>
    </dxf>
    <dxf>
      <fill>
        <patternFill patternType="solid">
          <fgColor rgb="FFE6ECE3"/>
          <bgColor rgb="FF000000"/>
        </patternFill>
      </fill>
    </dxf>
    <dxf>
      <fill>
        <patternFill patternType="solid">
          <fgColor rgb="FFFBE3DF"/>
          <bgColor rgb="FF000000"/>
        </patternFill>
      </fill>
    </dxf>
    <dxf>
      <fill>
        <patternFill patternType="solid">
          <fgColor rgb="FF3E5A3A"/>
          <bgColor rgb="FF000000"/>
        </patternFill>
      </fill>
    </dxf>
    <dxf>
      <fill>
        <patternFill patternType="solid">
          <fgColor rgb="FFE2321B"/>
          <bgColor rgb="FF000000"/>
        </patternFill>
      </fill>
    </dxf>
    <dxf>
      <font>
        <name val="Aptos"/>
        <charset val="1"/>
        <family val="0"/>
        <b val="1"/>
        <color rgb="FFFFFFFF"/>
      </font>
      <fill>
        <patternFill>
          <bgColor rgb="FFE2321B"/>
        </patternFill>
      </fill>
    </dxf>
    <dxf>
      <font>
        <name val="Aptos"/>
        <charset val="1"/>
        <family val="0"/>
        <b val="1"/>
        <color rgb="FFE2321B"/>
      </font>
      <fill>
        <patternFill>
          <bgColor rgb="FFFBE3DF"/>
        </patternFill>
      </fill>
    </dxf>
    <dxf>
      <font>
        <name val="Aptos"/>
        <charset val="1"/>
        <family val="0"/>
        <color rgb="FF3E5A3A"/>
      </font>
      <fill>
        <patternFill>
          <bgColor rgb="FFE6ECE3"/>
        </patternFill>
      </fill>
    </dxf>
    <dxf>
      <font>
        <name val="Aptos"/>
        <charset val="1"/>
        <family val="0"/>
        <b val="1"/>
        <color rgb="FFE2321B"/>
      </font>
    </dxf>
    <dxf>
      <fill>
        <patternFill patternType="solid">
          <fgColor rgb="FFFFEFC7"/>
          <bgColor rgb="FF000000"/>
        </patternFill>
      </fill>
    </dxf>
    <dxf>
      <fill>
        <patternFill patternType="solid">
          <fgColor rgb="FFFFFFFF"/>
          <bgColor rgb="FF000000"/>
        </patternFill>
      </fill>
    </dxf>
    <dxf>
      <font>
        <name val="Aptos"/>
        <charset val="1"/>
        <family val="0"/>
        <b val="1"/>
        <color rgb="FF111111"/>
      </font>
      <fill>
        <patternFill>
          <bgColor rgb="FFFFEFC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6CF"/>
      <rgbColor rgb="FF878787"/>
      <rgbColor rgb="FF9999FF"/>
      <rgbColor rgb="FF993366"/>
      <rgbColor rgb="FFFFF6DC"/>
      <rgbColor rgb="FFF4F3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6ECE3"/>
      <rgbColor rgb="FFFFEFC7"/>
      <rgbColor rgb="FF99CCFF"/>
      <rgbColor rgb="FFFF99CC"/>
      <rgbColor rgb="FFCC99FF"/>
      <rgbColor rgb="FFFBE3DF"/>
      <rgbColor rgb="FF3366FF"/>
      <rgbColor rgb="FF33CCCC"/>
      <rgbColor rgb="FF99CC00"/>
      <rgbColor rgb="FFFFCC00"/>
      <rgbColor rgb="FFFF9900"/>
      <rgbColor rgb="FFFF6600"/>
      <rgbColor rgb="FF666699"/>
      <rgbColor rgb="FF8C8983"/>
      <rgbColor rgb="FF003366"/>
      <rgbColor rgb="FF339966"/>
      <rgbColor rgb="FF111111"/>
      <rgbColor rgb="FF3E5A3A"/>
      <rgbColor rgb="FFE2321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Dashboard!L39</c:f>
              <c:strCache>
                <c:ptCount val="1"/>
                <c:pt idx="0">
                  <c:v>Revenue</c:v>
                </c:pt>
              </c:strCache>
            </c:strRef>
          </c:tx>
          <c:spPr>
            <a:solidFill>
              <a:srgbClr val="111111"/>
            </a:solidFill>
            <a:ln w="0">
              <a:solidFill>
                <a:srgbClr val="11111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Dashboard!$K$40:$K$47</c:f>
              <c:strCache>
                <c:ptCount val="8"/>
                <c:pt idx="0">
                  <c:v>22 Aug</c:v>
                </c:pt>
                <c:pt idx="1">
                  <c:v>29 Aug</c:v>
                </c:pt>
                <c:pt idx="2">
                  <c:v>05 Sep</c:v>
                </c:pt>
                <c:pt idx="3">
                  <c:v>12 Sep</c:v>
                </c:pt>
                <c:pt idx="4">
                  <c:v>19 Sep</c:v>
                </c:pt>
                <c:pt idx="5">
                  <c:v>26 Sep</c:v>
                </c:pt>
                <c:pt idx="6">
                  <c:v>03 Oct</c:v>
                </c:pt>
                <c:pt idx="7">
                  <c:v>10 Oct</c:v>
                </c:pt>
              </c:strCache>
            </c:strRef>
          </c:cat>
          <c:val>
            <c:numRef>
              <c:f>Dashboard!$L$40:$L$47</c:f>
              <c:numCache>
                <c:formatCode>#,##0</c:formatCode>
                <c:ptCount val="8"/>
                <c:pt idx="0">
                  <c:v>98</c:v>
                </c:pt>
                <c:pt idx="1">
                  <c:v>145</c:v>
                </c:pt>
                <c:pt idx="2">
                  <c:v>211</c:v>
                </c:pt>
                <c:pt idx="3">
                  <c:v>196</c:v>
                </c:pt>
                <c:pt idx="4">
                  <c:v>155</c:v>
                </c:pt>
                <c:pt idx="5">
                  <c:v>174</c:v>
                </c:pt>
                <c:pt idx="6">
                  <c:v>223</c:v>
                </c:pt>
                <c:pt idx="7">
                  <c:v>341</c:v>
                </c:pt>
              </c:numCache>
            </c:numRef>
          </c:val>
        </c:ser>
        <c:gapWidth val="60"/>
        <c:overlap val="0"/>
        <c:axId val="91723522"/>
        <c:axId val="30046602"/>
      </c:barChart>
      <c:catAx>
        <c:axId val="917235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046602"/>
        <c:crosses val="autoZero"/>
        <c:auto val="1"/>
        <c:lblAlgn val="ctr"/>
        <c:lblOffset val="100"/>
        <c:noMultiLvlLbl val="0"/>
      </c:catAx>
      <c:valAx>
        <c:axId val="30046602"/>
        <c:scaling>
          <c:orientation val="minMax"/>
        </c:scaling>
        <c:delete val="1"/>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723522"/>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19</xdr:row>
      <xdr:rowOff>0</xdr:rowOff>
    </xdr:from>
    <xdr:to>
      <xdr:col>7</xdr:col>
      <xdr:colOff>519840</xdr:colOff>
      <xdr:row>27</xdr:row>
      <xdr:rowOff>21960</xdr:rowOff>
    </xdr:to>
    <xdr:graphicFrame>
      <xdr:nvGraphicFramePr>
        <xdr:cNvPr id="0" name="Chart 1"/>
        <xdr:cNvGraphicFramePr/>
      </xdr:nvGraphicFramePr>
      <xdr:xfrm>
        <a:off x="211320" y="6086520"/>
        <a:ext cx="6299640" cy="223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90"/>
  </cols>
  <sheetData>
    <row r="1" customFormat="false" ht="21.75" hidden="false" customHeight="true" outlineLevel="0" collapsed="false">
      <c r="A1" s="1"/>
      <c r="B1" s="1"/>
      <c r="C1" s="1"/>
      <c r="D1" s="1"/>
      <c r="E1" s="1"/>
      <c r="F1" s="1"/>
      <c r="G1" s="1"/>
      <c r="H1" s="1"/>
      <c r="I1" s="1"/>
      <c r="J1" s="1"/>
      <c r="K1" s="1"/>
      <c r="L1" s="1"/>
    </row>
    <row r="2" customFormat="false" ht="21.75" hidden="false" customHeight="true" outlineLevel="0" collapsed="false">
      <c r="A2" s="1"/>
      <c r="B2" s="2" t="s">
        <v>0</v>
      </c>
      <c r="C2" s="1"/>
      <c r="D2" s="1"/>
      <c r="E2" s="1"/>
      <c r="F2" s="1"/>
      <c r="G2" s="1"/>
      <c r="H2" s="1"/>
      <c r="I2" s="1"/>
      <c r="J2" s="1"/>
      <c r="K2" s="1"/>
      <c r="L2" s="1"/>
    </row>
    <row r="3" customFormat="false" ht="39.75" hidden="false" customHeight="true" outlineLevel="0" collapsed="false">
      <c r="A3" s="1"/>
      <c r="B3" s="3" t="s">
        <v>1</v>
      </c>
      <c r="C3" s="1"/>
      <c r="D3" s="1"/>
      <c r="E3" s="1"/>
      <c r="F3" s="1"/>
      <c r="G3" s="1"/>
      <c r="H3" s="1"/>
      <c r="I3" s="1"/>
      <c r="J3" s="1"/>
      <c r="K3" s="1"/>
      <c r="L3" s="1"/>
    </row>
    <row r="4" customFormat="false" ht="21.75" hidden="false" customHeight="true" outlineLevel="0" collapsed="false">
      <c r="A4" s="1"/>
      <c r="B4" s="4" t="s">
        <v>2</v>
      </c>
      <c r="C4" s="1"/>
      <c r="D4" s="1"/>
      <c r="E4" s="1"/>
      <c r="F4" s="1"/>
      <c r="G4" s="1"/>
      <c r="H4" s="1"/>
      <c r="I4" s="1"/>
      <c r="J4" s="1"/>
      <c r="K4" s="1"/>
      <c r="L4" s="1"/>
    </row>
    <row r="5" customFormat="false" ht="21.75" hidden="false" customHeight="true" outlineLevel="0" collapsed="false">
      <c r="A5" s="1"/>
      <c r="B5" s="1"/>
      <c r="C5" s="1"/>
      <c r="D5" s="1"/>
      <c r="E5" s="1"/>
      <c r="F5" s="1"/>
      <c r="G5" s="1"/>
      <c r="H5" s="1"/>
      <c r="I5" s="1"/>
      <c r="J5" s="1"/>
      <c r="K5" s="1"/>
      <c r="L5" s="1"/>
    </row>
    <row r="6" customFormat="false" ht="25.5" hidden="false" customHeight="true" outlineLevel="0" collapsed="false">
      <c r="A6" s="1"/>
      <c r="B6" s="5" t="s">
        <v>3</v>
      </c>
      <c r="C6" s="1"/>
      <c r="D6" s="1"/>
      <c r="E6" s="1"/>
      <c r="F6" s="1"/>
      <c r="G6" s="1"/>
      <c r="H6" s="1"/>
      <c r="I6" s="1"/>
      <c r="J6" s="1"/>
      <c r="K6" s="1"/>
      <c r="L6" s="1"/>
    </row>
    <row r="7" customFormat="false" ht="31.5" hidden="false" customHeight="true" outlineLevel="0" collapsed="false">
      <c r="A7" s="1"/>
      <c r="B7" s="6" t="s">
        <v>4</v>
      </c>
      <c r="C7" s="1"/>
      <c r="D7" s="1"/>
      <c r="E7" s="1"/>
      <c r="F7" s="1"/>
      <c r="G7" s="1"/>
      <c r="H7" s="1"/>
      <c r="I7" s="1"/>
      <c r="J7" s="1"/>
      <c r="K7" s="1"/>
      <c r="L7" s="1"/>
    </row>
    <row r="8" customFormat="false" ht="21.75" hidden="false" customHeight="true" outlineLevel="0" collapsed="false">
      <c r="A8" s="1"/>
      <c r="B8" s="1"/>
      <c r="C8" s="1"/>
      <c r="D8" s="1"/>
      <c r="E8" s="1"/>
      <c r="F8" s="1"/>
      <c r="G8" s="1"/>
      <c r="H8" s="1"/>
      <c r="I8" s="1"/>
      <c r="J8" s="1"/>
      <c r="K8" s="1"/>
      <c r="L8" s="1"/>
    </row>
    <row r="9" customFormat="false" ht="25.5" hidden="false" customHeight="true" outlineLevel="0" collapsed="false">
      <c r="A9" s="1"/>
      <c r="B9" s="5" t="s">
        <v>5</v>
      </c>
      <c r="C9" s="1"/>
      <c r="D9" s="1"/>
      <c r="E9" s="1"/>
      <c r="F9" s="1"/>
      <c r="G9" s="1"/>
      <c r="H9" s="1"/>
      <c r="I9" s="1"/>
      <c r="J9" s="1"/>
      <c r="K9" s="1"/>
      <c r="L9" s="1"/>
    </row>
    <row r="10" customFormat="false" ht="31.5" hidden="false" customHeight="true" outlineLevel="0" collapsed="false">
      <c r="A10" s="1"/>
      <c r="B10" s="6" t="s">
        <v>6</v>
      </c>
      <c r="C10" s="1"/>
      <c r="D10" s="1"/>
      <c r="E10" s="1"/>
      <c r="F10" s="1"/>
      <c r="G10" s="1"/>
      <c r="H10" s="1"/>
      <c r="I10" s="1"/>
      <c r="J10" s="1"/>
      <c r="K10" s="1"/>
      <c r="L10" s="1"/>
    </row>
    <row r="11" customFormat="false" ht="21.75" hidden="false" customHeight="true" outlineLevel="0" collapsed="false">
      <c r="A11" s="1"/>
      <c r="B11" s="1"/>
      <c r="C11" s="1"/>
      <c r="D11" s="1"/>
      <c r="E11" s="1"/>
      <c r="F11" s="1"/>
      <c r="G11" s="1"/>
      <c r="H11" s="1"/>
      <c r="I11" s="1"/>
      <c r="J11" s="1"/>
      <c r="K11" s="1"/>
      <c r="L11" s="1"/>
    </row>
    <row r="12" customFormat="false" ht="25.5" hidden="false" customHeight="true" outlineLevel="0" collapsed="false">
      <c r="A12" s="1"/>
      <c r="B12" s="5" t="s">
        <v>7</v>
      </c>
      <c r="C12" s="1"/>
      <c r="D12" s="1"/>
      <c r="E12" s="1"/>
      <c r="F12" s="1"/>
      <c r="G12" s="1"/>
      <c r="H12" s="1"/>
      <c r="I12" s="1"/>
      <c r="J12" s="1"/>
      <c r="K12" s="1"/>
      <c r="L12" s="1"/>
    </row>
    <row r="13" customFormat="false" ht="31.5" hidden="false" customHeight="true" outlineLevel="0" collapsed="false">
      <c r="A13" s="1"/>
      <c r="B13" s="6" t="s">
        <v>8</v>
      </c>
      <c r="C13" s="1"/>
      <c r="D13" s="1"/>
      <c r="E13" s="1"/>
      <c r="F13" s="1"/>
      <c r="G13" s="1"/>
      <c r="H13" s="1"/>
      <c r="I13" s="1"/>
      <c r="J13" s="1"/>
      <c r="K13" s="1"/>
      <c r="L13" s="1"/>
    </row>
    <row r="14" customFormat="false" ht="31.5" hidden="false" customHeight="true" outlineLevel="0" collapsed="false">
      <c r="A14" s="1"/>
      <c r="B14" s="6" t="s">
        <v>9</v>
      </c>
      <c r="C14" s="1"/>
      <c r="D14" s="1"/>
      <c r="E14" s="1"/>
      <c r="F14" s="1"/>
      <c r="G14" s="1"/>
      <c r="H14" s="1"/>
      <c r="I14" s="1"/>
      <c r="J14" s="1"/>
      <c r="K14" s="1"/>
      <c r="L14" s="1"/>
    </row>
    <row r="15" customFormat="false" ht="31.5" hidden="false" customHeight="true" outlineLevel="0" collapsed="false">
      <c r="A15" s="1"/>
      <c r="B15" s="6" t="s">
        <v>10</v>
      </c>
      <c r="C15" s="1"/>
      <c r="D15" s="1"/>
      <c r="E15" s="1"/>
      <c r="F15" s="1"/>
      <c r="G15" s="1"/>
      <c r="H15" s="1"/>
      <c r="I15" s="1"/>
      <c r="J15" s="1"/>
      <c r="K15" s="1"/>
      <c r="L15" s="1"/>
    </row>
    <row r="16" customFormat="false" ht="31.5" hidden="false" customHeight="true" outlineLevel="0" collapsed="false">
      <c r="A16" s="1"/>
      <c r="B16" s="6" t="s">
        <v>11</v>
      </c>
      <c r="C16" s="1"/>
      <c r="D16" s="1"/>
      <c r="E16" s="1"/>
      <c r="F16" s="1"/>
      <c r="G16" s="1"/>
      <c r="H16" s="1"/>
      <c r="I16" s="1"/>
      <c r="J16" s="1"/>
      <c r="K16" s="1"/>
      <c r="L16" s="1"/>
    </row>
    <row r="17" customFormat="false" ht="31.5" hidden="false" customHeight="true" outlineLevel="0" collapsed="false">
      <c r="A17" s="1"/>
      <c r="B17" s="6" t="s">
        <v>12</v>
      </c>
      <c r="C17" s="1"/>
      <c r="D17" s="1"/>
      <c r="E17" s="1"/>
      <c r="F17" s="1"/>
      <c r="G17" s="1"/>
      <c r="H17" s="1"/>
      <c r="I17" s="1"/>
      <c r="J17" s="1"/>
      <c r="K17" s="1"/>
      <c r="L17" s="1"/>
    </row>
    <row r="18" customFormat="false" ht="21.75" hidden="false" customHeight="true" outlineLevel="0" collapsed="false">
      <c r="A18" s="1"/>
      <c r="B18" s="1"/>
      <c r="C18" s="1"/>
      <c r="D18" s="1"/>
      <c r="E18" s="1"/>
      <c r="F18" s="1"/>
      <c r="G18" s="1"/>
      <c r="H18" s="1"/>
      <c r="I18" s="1"/>
      <c r="J18" s="1"/>
      <c r="K18" s="1"/>
      <c r="L18" s="1"/>
    </row>
    <row r="19" customFormat="false" ht="25.5" hidden="false" customHeight="true" outlineLevel="0" collapsed="false">
      <c r="A19" s="1"/>
      <c r="B19" s="5" t="s">
        <v>13</v>
      </c>
      <c r="C19" s="1"/>
      <c r="D19" s="1"/>
      <c r="E19" s="1"/>
      <c r="F19" s="1"/>
      <c r="G19" s="1"/>
      <c r="H19" s="1"/>
      <c r="I19" s="1"/>
      <c r="J19" s="1"/>
      <c r="K19" s="1"/>
      <c r="L19" s="1"/>
    </row>
    <row r="20" customFormat="false" ht="31.5" hidden="false" customHeight="true" outlineLevel="0" collapsed="false">
      <c r="A20" s="1"/>
      <c r="B20" s="6" t="s">
        <v>14</v>
      </c>
      <c r="C20" s="1"/>
      <c r="D20" s="1"/>
      <c r="E20" s="1"/>
      <c r="F20" s="1"/>
      <c r="G20" s="1"/>
      <c r="H20" s="1"/>
      <c r="I20" s="1"/>
      <c r="J20" s="1"/>
      <c r="K20" s="1"/>
      <c r="L20" s="1"/>
    </row>
    <row r="21" customFormat="false" ht="21.75" hidden="false" customHeight="true" outlineLevel="0" collapsed="false">
      <c r="A21" s="1"/>
      <c r="B21" s="1"/>
      <c r="C21" s="1"/>
      <c r="D21" s="1"/>
      <c r="E21" s="1"/>
      <c r="F21" s="1"/>
      <c r="G21" s="1"/>
      <c r="H21" s="1"/>
      <c r="I21" s="1"/>
      <c r="J21" s="1"/>
      <c r="K21" s="1"/>
      <c r="L21" s="1"/>
    </row>
    <row r="22" customFormat="false" ht="25.5" hidden="false" customHeight="true" outlineLevel="0" collapsed="false">
      <c r="A22" s="1"/>
      <c r="B22" s="5" t="s">
        <v>15</v>
      </c>
      <c r="C22" s="1"/>
      <c r="D22" s="1"/>
      <c r="E22" s="1"/>
      <c r="F22" s="1"/>
      <c r="G22" s="1"/>
      <c r="H22" s="1"/>
      <c r="I22" s="1"/>
      <c r="J22" s="1"/>
      <c r="K22" s="1"/>
      <c r="L22" s="1"/>
    </row>
    <row r="23" customFormat="false" ht="31.5" hidden="false" customHeight="true" outlineLevel="0" collapsed="false">
      <c r="A23" s="1"/>
      <c r="B23" s="6" t="s">
        <v>16</v>
      </c>
      <c r="C23" s="1"/>
      <c r="D23" s="1"/>
      <c r="E23" s="1"/>
      <c r="F23" s="1"/>
      <c r="G23" s="1"/>
      <c r="H23" s="1"/>
      <c r="I23" s="1"/>
      <c r="J23" s="1"/>
      <c r="K23" s="1"/>
      <c r="L23" s="1"/>
    </row>
    <row r="24" customFormat="false" ht="21.75" hidden="false" customHeight="true" outlineLevel="0" collapsed="false">
      <c r="A24" s="1"/>
      <c r="B24" s="1"/>
      <c r="C24" s="1"/>
      <c r="D24" s="1"/>
      <c r="E24" s="1"/>
      <c r="F24" s="1"/>
      <c r="G24" s="1"/>
      <c r="H24" s="1"/>
      <c r="I24" s="1"/>
      <c r="J24" s="1"/>
      <c r="K24" s="1"/>
      <c r="L24" s="1"/>
    </row>
    <row r="25" customFormat="false" ht="25.5" hidden="false" customHeight="true" outlineLevel="0" collapsed="false">
      <c r="A25" s="1"/>
      <c r="B25" s="5" t="s">
        <v>17</v>
      </c>
      <c r="C25" s="1"/>
      <c r="D25" s="1"/>
      <c r="E25" s="1"/>
      <c r="F25" s="1"/>
      <c r="G25" s="1"/>
      <c r="H25" s="1"/>
      <c r="I25" s="1"/>
      <c r="J25" s="1"/>
      <c r="K25" s="1"/>
      <c r="L25" s="1"/>
    </row>
    <row r="26" customFormat="false" ht="31.5" hidden="false" customHeight="true" outlineLevel="0" collapsed="false">
      <c r="A26" s="1"/>
      <c r="B26" s="6" t="s">
        <v>18</v>
      </c>
      <c r="C26" s="1"/>
      <c r="D26" s="1"/>
      <c r="E26" s="1"/>
      <c r="F26" s="1"/>
      <c r="G26" s="1"/>
      <c r="H26" s="1"/>
      <c r="I26" s="1"/>
      <c r="J26" s="1"/>
      <c r="K26" s="1"/>
      <c r="L26" s="1"/>
    </row>
    <row r="27" customFormat="false" ht="21.75" hidden="false" customHeight="true" outlineLevel="0" collapsed="false">
      <c r="A27" s="1"/>
      <c r="B27" s="1"/>
      <c r="C27" s="1"/>
      <c r="D27" s="1"/>
      <c r="E27" s="1"/>
      <c r="F27" s="1"/>
      <c r="G27" s="1"/>
      <c r="H27" s="1"/>
      <c r="I27" s="1"/>
      <c r="J27" s="1"/>
      <c r="K27" s="1"/>
      <c r="L27" s="1"/>
    </row>
    <row r="28" customFormat="false" ht="24" hidden="false" customHeight="true" outlineLevel="0" collapsed="false">
      <c r="A28" s="1"/>
      <c r="B28" s="7" t="s">
        <v>19</v>
      </c>
      <c r="C28" s="1"/>
      <c r="D28" s="1"/>
      <c r="E28" s="1"/>
      <c r="F28" s="1"/>
      <c r="G28" s="1"/>
      <c r="H28" s="1"/>
      <c r="I28" s="1"/>
      <c r="J28" s="1"/>
      <c r="K28" s="1"/>
      <c r="L28" s="1"/>
    </row>
    <row r="29" customFormat="false" ht="21.75" hidden="false" customHeight="true" outlineLevel="0" collapsed="false">
      <c r="A29" s="1"/>
      <c r="B29" s="1"/>
      <c r="C29" s="1"/>
      <c r="D29" s="1"/>
      <c r="E29" s="1"/>
      <c r="F29" s="1"/>
      <c r="G29" s="1"/>
      <c r="H29" s="1"/>
      <c r="I29" s="1"/>
      <c r="J29" s="1"/>
      <c r="K29" s="1"/>
      <c r="L29" s="1"/>
    </row>
    <row r="30" customFormat="false" ht="21.75" hidden="false" customHeight="true" outlineLevel="0" collapsed="false">
      <c r="A30" s="1"/>
      <c r="B30" s="1"/>
      <c r="C30" s="1"/>
      <c r="D30" s="1"/>
      <c r="E30" s="1"/>
      <c r="F30" s="1"/>
      <c r="G30" s="1"/>
      <c r="H30" s="1"/>
      <c r="I30" s="1"/>
      <c r="J30" s="1"/>
      <c r="K30" s="1"/>
      <c r="L30" s="1"/>
    </row>
    <row r="31" customFormat="false" ht="21.75" hidden="false" customHeight="true" outlineLevel="0" collapsed="false">
      <c r="A31" s="1"/>
      <c r="B31" s="1"/>
      <c r="C31" s="1"/>
      <c r="D31" s="1"/>
      <c r="E31" s="1"/>
      <c r="F31" s="1"/>
      <c r="G31" s="1"/>
      <c r="H31" s="1"/>
      <c r="I31" s="1"/>
      <c r="J31" s="1"/>
      <c r="K31" s="1"/>
      <c r="L31" s="1"/>
    </row>
    <row r="32" customFormat="false" ht="21.75" hidden="false" customHeight="true" outlineLevel="0" collapsed="false">
      <c r="A32" s="1"/>
      <c r="B32" s="1"/>
      <c r="C32" s="1"/>
      <c r="D32" s="1"/>
      <c r="E32" s="1"/>
      <c r="F32" s="1"/>
      <c r="G32" s="1"/>
      <c r="H32" s="1"/>
      <c r="I32" s="1"/>
      <c r="J32" s="1"/>
      <c r="K32" s="1"/>
      <c r="L32" s="1"/>
    </row>
    <row r="33" customFormat="false" ht="21.75" hidden="false" customHeight="true" outlineLevel="0" collapsed="false">
      <c r="A33" s="1"/>
      <c r="B33" s="1"/>
      <c r="C33" s="1"/>
      <c r="D33" s="1"/>
      <c r="E33" s="1"/>
      <c r="F33" s="1"/>
      <c r="G33" s="1"/>
      <c r="H33" s="1"/>
      <c r="I33" s="1"/>
      <c r="J33" s="1"/>
      <c r="K33" s="1"/>
      <c r="L33" s="1"/>
    </row>
    <row r="34" customFormat="false" ht="21.75" hidden="false" customHeight="true" outlineLevel="0" collapsed="false">
      <c r="A34" s="1"/>
      <c r="B34" s="1"/>
      <c r="C34" s="1"/>
      <c r="D34" s="1"/>
      <c r="E34" s="1"/>
      <c r="F34" s="1"/>
      <c r="G34" s="1"/>
      <c r="H34" s="1"/>
      <c r="I34" s="1"/>
      <c r="J34" s="1"/>
      <c r="K34" s="1"/>
      <c r="L34" s="1"/>
    </row>
    <row r="35" customFormat="false" ht="21.75" hidden="false" customHeight="true" outlineLevel="0" collapsed="false">
      <c r="A35" s="1"/>
      <c r="B35" s="1"/>
      <c r="C35" s="1"/>
      <c r="D35" s="1"/>
      <c r="E35" s="1"/>
      <c r="F35" s="1"/>
      <c r="G35" s="1"/>
      <c r="H35" s="1"/>
      <c r="I35" s="1"/>
      <c r="J35" s="1"/>
      <c r="K35" s="1"/>
      <c r="L35" s="1"/>
    </row>
    <row r="36" customFormat="false" ht="21.75" hidden="false" customHeight="true" outlineLevel="0" collapsed="false">
      <c r="A36" s="1"/>
      <c r="B36" s="1"/>
      <c r="C36" s="1"/>
      <c r="D36" s="1"/>
      <c r="E36" s="1"/>
      <c r="F36" s="1"/>
      <c r="G36" s="1"/>
      <c r="H36" s="1"/>
      <c r="I36" s="1"/>
      <c r="J36" s="1"/>
      <c r="K36" s="1"/>
      <c r="L36" s="1"/>
    </row>
    <row r="37" customFormat="false" ht="21.75" hidden="false" customHeight="true" outlineLevel="0" collapsed="false">
      <c r="A37" s="1"/>
      <c r="B37" s="1"/>
      <c r="C37" s="1"/>
      <c r="D37" s="1"/>
      <c r="E37" s="1"/>
      <c r="F37" s="1"/>
      <c r="G37" s="1"/>
      <c r="H37" s="1"/>
      <c r="I37" s="1"/>
      <c r="J37" s="1"/>
      <c r="K37" s="1"/>
      <c r="L37" s="1"/>
    </row>
    <row r="38" customFormat="false" ht="21.75" hidden="false" customHeight="true" outlineLevel="0" collapsed="false">
      <c r="A38" s="1"/>
      <c r="B38" s="1"/>
      <c r="C38" s="1"/>
      <c r="D38" s="1"/>
      <c r="E38" s="1"/>
      <c r="F38" s="1"/>
      <c r="G38" s="1"/>
      <c r="H38" s="1"/>
      <c r="I38" s="1"/>
      <c r="J38" s="1"/>
      <c r="K38" s="1"/>
      <c r="L38" s="1"/>
    </row>
    <row r="39" customFormat="false" ht="21.75" hidden="false" customHeight="true" outlineLevel="0" collapsed="false">
      <c r="A39" s="1"/>
      <c r="B39" s="1"/>
      <c r="C39" s="1"/>
      <c r="D39" s="1"/>
      <c r="E39" s="1"/>
      <c r="F39" s="1"/>
      <c r="G39" s="1"/>
      <c r="H39" s="1"/>
      <c r="I39" s="1"/>
      <c r="J39" s="1"/>
      <c r="K39" s="1"/>
      <c r="L39" s="1"/>
    </row>
    <row r="40" customFormat="false" ht="21.75" hidden="false" customHeight="true" outlineLevel="0" collapsed="false">
      <c r="A40" s="1"/>
      <c r="B40" s="1"/>
      <c r="C40" s="1"/>
      <c r="D40" s="1"/>
      <c r="E40" s="1"/>
      <c r="F40" s="1"/>
      <c r="G40" s="1"/>
      <c r="H40" s="1"/>
      <c r="I40" s="1"/>
      <c r="J40" s="1"/>
      <c r="K40" s="1"/>
      <c r="L40" s="1"/>
    </row>
  </sheetData>
  <sheetProtection sheet="true" formatColumns="false" formatRows="false" sort="false" autoFilter="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0"/>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19"/>
    <col collapsed="false" customWidth="true" hidden="false" outlineLevel="0" max="4" min="4" style="0" width="3"/>
    <col collapsed="false" customWidth="true" hidden="false" outlineLevel="0" max="6" min="5" style="0" width="19"/>
    <col collapsed="false" customWidth="true" hidden="false" outlineLevel="0" max="7" min="7" style="0" width="3"/>
    <col collapsed="false" customWidth="true" hidden="false" outlineLevel="0" max="9" min="8" style="0" width="19"/>
    <col collapsed="false" customWidth="true" hidden="false" outlineLevel="0" max="10" min="10" style="0" width="3"/>
    <col collapsed="false" customWidth="true" hidden="false" outlineLevel="0" max="12" min="11" style="0" width="14"/>
  </cols>
  <sheetData>
    <row r="1" customFormat="false" ht="21.75" hidden="false" customHeight="true" outlineLevel="0" collapsed="false">
      <c r="A1" s="1"/>
      <c r="B1" s="1"/>
      <c r="C1" s="1"/>
      <c r="D1" s="1"/>
      <c r="E1" s="1"/>
      <c r="F1" s="1"/>
      <c r="G1" s="1"/>
      <c r="H1" s="1"/>
      <c r="I1" s="1"/>
      <c r="J1" s="1"/>
      <c r="K1" s="1"/>
      <c r="L1" s="1"/>
      <c r="M1" s="1"/>
      <c r="N1" s="1"/>
      <c r="O1" s="1"/>
      <c r="P1" s="1"/>
    </row>
    <row r="2" customFormat="false" ht="21.75" hidden="false" customHeight="true" outlineLevel="0" collapsed="false">
      <c r="A2" s="1"/>
      <c r="B2" s="2" t="s">
        <v>20</v>
      </c>
      <c r="C2" s="1"/>
      <c r="D2" s="1"/>
      <c r="E2" s="1"/>
      <c r="F2" s="1"/>
      <c r="G2" s="1"/>
      <c r="H2" s="1"/>
      <c r="I2" s="1"/>
      <c r="J2" s="1"/>
      <c r="K2" s="1"/>
      <c r="L2" s="1"/>
      <c r="M2" s="1"/>
      <c r="N2" s="1"/>
      <c r="O2" s="1"/>
      <c r="P2" s="1"/>
    </row>
    <row r="3" customFormat="false" ht="39.75" hidden="false" customHeight="true" outlineLevel="0" collapsed="false">
      <c r="A3" s="1"/>
      <c r="B3" s="3" t="s">
        <v>21</v>
      </c>
      <c r="C3" s="1"/>
      <c r="D3" s="1"/>
      <c r="E3" s="1"/>
      <c r="F3" s="1"/>
      <c r="G3" s="1"/>
      <c r="H3" s="1"/>
      <c r="I3" s="1"/>
      <c r="J3" s="1"/>
      <c r="K3" s="1"/>
      <c r="L3" s="1"/>
      <c r="M3" s="1"/>
      <c r="N3" s="1"/>
      <c r="O3" s="1"/>
      <c r="P3" s="1"/>
    </row>
    <row r="4" customFormat="false" ht="21.75" hidden="false" customHeight="true" outlineLevel="0" collapsed="false">
      <c r="A4" s="1"/>
      <c r="B4" s="4" t="s">
        <v>22</v>
      </c>
      <c r="C4" s="1"/>
      <c r="D4" s="1"/>
      <c r="E4" s="1"/>
      <c r="F4" s="1"/>
      <c r="G4" s="1"/>
      <c r="H4" s="1"/>
      <c r="I4" s="1"/>
      <c r="J4" s="1"/>
      <c r="K4" s="1"/>
      <c r="L4" s="1"/>
      <c r="M4" s="1"/>
      <c r="N4" s="1"/>
      <c r="O4" s="1"/>
      <c r="P4" s="1"/>
    </row>
    <row r="5" customFormat="false" ht="21.75" hidden="false" customHeight="true" outlineLevel="0" collapsed="false">
      <c r="A5" s="1"/>
      <c r="B5" s="8" t="str">
        <f aca="false">"Period  "&amp;TEXT(Settings!C10,"dd mmm")&amp;" – "&amp;TEXT(Settings!C11,"dd mmm yyyy")&amp;"   ·   "&amp;Settings!C7</f>
        <v>Period  16 Sep – 16 Oct 2026   ·   TND</v>
      </c>
      <c r="C5" s="1"/>
      <c r="D5" s="1"/>
      <c r="E5" s="1"/>
      <c r="F5" s="1"/>
      <c r="G5" s="1"/>
      <c r="H5" s="1"/>
      <c r="I5" s="1"/>
      <c r="J5" s="1"/>
      <c r="K5" s="1"/>
      <c r="L5" s="1"/>
      <c r="M5" s="1"/>
      <c r="N5" s="1"/>
      <c r="O5" s="1"/>
      <c r="P5" s="1"/>
    </row>
    <row r="6" customFormat="false" ht="21.75" hidden="false" customHeight="true" outlineLevel="0" collapsed="false">
      <c r="A6" s="1"/>
      <c r="B6" s="1"/>
      <c r="C6" s="1"/>
      <c r="D6" s="1"/>
      <c r="E6" s="1"/>
      <c r="F6" s="1"/>
      <c r="G6" s="1"/>
      <c r="H6" s="1"/>
      <c r="I6" s="1"/>
      <c r="J6" s="1"/>
      <c r="K6" s="1"/>
      <c r="L6" s="1"/>
      <c r="M6" s="1"/>
      <c r="N6" s="1"/>
      <c r="O6" s="1"/>
      <c r="P6" s="1"/>
    </row>
    <row r="7" customFormat="false" ht="21.75" hidden="false" customHeight="true" outlineLevel="0" collapsed="false">
      <c r="A7" s="1"/>
      <c r="B7" s="9" t="s">
        <v>23</v>
      </c>
      <c r="C7" s="9"/>
      <c r="D7" s="1"/>
      <c r="E7" s="9" t="s">
        <v>24</v>
      </c>
      <c r="F7" s="9"/>
      <c r="G7" s="1"/>
      <c r="H7" s="9" t="s">
        <v>25</v>
      </c>
      <c r="I7" s="9"/>
      <c r="J7" s="1"/>
      <c r="K7" s="1"/>
      <c r="L7" s="1"/>
      <c r="M7" s="1"/>
      <c r="N7" s="1"/>
      <c r="O7" s="1"/>
      <c r="P7" s="1"/>
    </row>
    <row r="8" customFormat="false" ht="45.75" hidden="false" customHeight="true" outlineLevel="0" collapsed="false">
      <c r="A8" s="1"/>
      <c r="B8" s="10" t="n">
        <f aca="false">SUMIFS(Sales!$I$7:$I$504,Sales!$B$7:$B$504,"&gt;="&amp;Settings!$C$10,Sales!$B$7:$B$504,"&lt;="&amp;Settings!$C$11)</f>
        <v>969</v>
      </c>
      <c r="C8" s="10"/>
      <c r="D8" s="1"/>
      <c r="E8" s="11" t="n">
        <f aca="false">SUM(Products!$O$7:$O$104)</f>
        <v>24</v>
      </c>
      <c r="F8" s="11"/>
      <c r="G8" s="1"/>
      <c r="H8" s="12" t="n">
        <f aca="false">IFERROR(AVERAGE(Products!$K$7:$K$104),0)</f>
        <v>0.696141236930711</v>
      </c>
      <c r="I8" s="12"/>
      <c r="J8" s="1"/>
      <c r="K8" s="1"/>
      <c r="L8" s="1"/>
      <c r="M8" s="1"/>
      <c r="N8" s="1"/>
      <c r="O8" s="1"/>
      <c r="P8" s="1"/>
    </row>
    <row r="9" customFormat="false" ht="21.75" hidden="false" customHeight="true" outlineLevel="0" collapsed="false">
      <c r="A9" s="1"/>
      <c r="B9" s="1"/>
      <c r="C9" s="1"/>
      <c r="D9" s="1"/>
      <c r="E9" s="1"/>
      <c r="F9" s="1"/>
      <c r="G9" s="1"/>
      <c r="H9" s="1"/>
      <c r="I9" s="1"/>
      <c r="J9" s="1"/>
      <c r="K9" s="1"/>
      <c r="L9" s="1"/>
      <c r="M9" s="1"/>
      <c r="N9" s="1"/>
      <c r="O9" s="1"/>
      <c r="P9" s="1"/>
    </row>
    <row r="10" customFormat="false" ht="21.75" hidden="false" customHeight="true" outlineLevel="0" collapsed="false">
      <c r="A10" s="1"/>
      <c r="B10" s="9" t="s">
        <v>26</v>
      </c>
      <c r="C10" s="9"/>
      <c r="D10" s="1"/>
      <c r="E10" s="9" t="s">
        <v>27</v>
      </c>
      <c r="F10" s="9"/>
      <c r="G10" s="1"/>
      <c r="H10" s="9" t="s">
        <v>28</v>
      </c>
      <c r="I10" s="9"/>
      <c r="J10" s="1"/>
      <c r="K10" s="1"/>
      <c r="L10" s="1"/>
      <c r="M10" s="1"/>
      <c r="N10" s="1"/>
      <c r="O10" s="1"/>
      <c r="P10" s="1"/>
    </row>
    <row r="11" customFormat="false" ht="45.75" hidden="false" customHeight="true" outlineLevel="0" collapsed="false">
      <c r="A11" s="1"/>
      <c r="B11" s="11" t="n">
        <f aca="false">COUNTIF(Products!$Q$7:$Q$104,"Restock")+COUNTIF(Products!$Q$7:$Q$104,"Out of stock")</f>
        <v>2</v>
      </c>
      <c r="C11" s="11"/>
      <c r="D11" s="1"/>
      <c r="E11" s="11" t="n">
        <f aca="false">COUNTIF(Production!$K$7:$K$204,"Late")</f>
        <v>1</v>
      </c>
      <c r="F11" s="11"/>
      <c r="G11" s="1"/>
      <c r="H11" s="10" t="n">
        <f aca="false">SUM(Products!$R$7:$R$104)</f>
        <v>930</v>
      </c>
      <c r="I11" s="10"/>
      <c r="J11" s="1"/>
      <c r="K11" s="1"/>
      <c r="L11" s="1"/>
      <c r="M11" s="1"/>
      <c r="N11" s="1"/>
      <c r="O11" s="1"/>
      <c r="P11" s="1"/>
    </row>
    <row r="12" customFormat="false" ht="21.75" hidden="false" customHeight="true" outlineLevel="0" collapsed="false">
      <c r="A12" s="1"/>
      <c r="B12" s="1"/>
      <c r="C12" s="1"/>
      <c r="D12" s="1"/>
      <c r="E12" s="1"/>
      <c r="F12" s="1"/>
      <c r="G12" s="1"/>
      <c r="H12" s="1"/>
      <c r="I12" s="1"/>
      <c r="J12" s="1"/>
      <c r="K12" s="1"/>
      <c r="L12" s="1"/>
      <c r="M12" s="1"/>
      <c r="N12" s="1"/>
      <c r="O12" s="1"/>
      <c r="P12" s="1"/>
    </row>
    <row r="13" customFormat="false" ht="21.75" hidden="false" customHeight="true" outlineLevel="0" collapsed="false">
      <c r="A13" s="1"/>
      <c r="B13" s="9" t="s">
        <v>29</v>
      </c>
      <c r="C13" s="13"/>
      <c r="D13" s="1"/>
      <c r="E13" s="9" t="s">
        <v>30</v>
      </c>
      <c r="F13" s="13"/>
      <c r="G13" s="13"/>
      <c r="H13" s="13"/>
      <c r="I13" s="13"/>
      <c r="J13" s="1"/>
      <c r="K13" s="14" t="s">
        <v>31</v>
      </c>
      <c r="L13" s="14" t="s">
        <v>32</v>
      </c>
      <c r="M13" s="1"/>
      <c r="N13" s="1"/>
      <c r="O13" s="1"/>
      <c r="P13" s="1"/>
    </row>
    <row r="14" customFormat="false" ht="21.75" hidden="false" customHeight="true" outlineLevel="0" collapsed="false">
      <c r="A14" s="1"/>
      <c r="B14" s="15" t="str">
        <f aca="false">IF(MAX(Products!$O$7:$O$104)=0,"–",INDEX(Products!$C$7:$C$104,MATCH(MAX(Products!$O$7:$O$104),Products!$O$7:$O$104,0)))</f>
        <v>Fig candle</v>
      </c>
      <c r="C14" s="1"/>
      <c r="D14" s="1"/>
      <c r="E14" s="16" t="str">
        <f aca="false">IF(B11&gt;0,"→  Restock "&amp;B11&amp;" product(s). Products tab, filter Status.","✓  Stock is fine")</f>
        <v>→  Restock 2 product(s). Products tab, filter Status.</v>
      </c>
      <c r="F14" s="16"/>
      <c r="G14" s="16"/>
      <c r="H14" s="16"/>
      <c r="I14" s="16"/>
      <c r="J14" s="1"/>
      <c r="K14" s="17" t="str">
        <f aca="false">Settings!$G$7</f>
        <v>Instagram</v>
      </c>
      <c r="L14" s="18" t="n">
        <f aca="false">IF(K14="","",SUMIFS(Sales!$I$7:$I$504,Sales!$F$7:$F$504,K14,Sales!$B$7:$B$504,"&gt;="&amp;Settings!$C$10,Sales!$B$7:$B$504,"&lt;="&amp;Settings!$C$11))</f>
        <v>292</v>
      </c>
      <c r="M14" s="1"/>
      <c r="N14" s="1"/>
      <c r="O14" s="1"/>
      <c r="P14" s="1"/>
    </row>
    <row r="15" customFormat="false" ht="21.75" hidden="false" customHeight="true" outlineLevel="0" collapsed="false">
      <c r="A15" s="1"/>
      <c r="B15" s="1"/>
      <c r="C15" s="1"/>
      <c r="D15" s="1"/>
      <c r="E15" s="16" t="str">
        <f aca="false">IF(E11&gt;0,"→  "&amp;E11&amp;" late job(s). Check Production.","✓  No late jobs")</f>
        <v>→  1 late job(s). Check Production.</v>
      </c>
      <c r="F15" s="16"/>
      <c r="G15" s="16"/>
      <c r="H15" s="16"/>
      <c r="I15" s="16"/>
      <c r="J15" s="1"/>
      <c r="K15" s="17" t="str">
        <f aca="false">Settings!$G$8</f>
        <v>Website</v>
      </c>
      <c r="L15" s="18" t="n">
        <f aca="false">IF(K15="","",SUMIFS(Sales!$I$7:$I$504,Sales!$F$7:$F$504,K15,Sales!$B$7:$B$504,"&gt;="&amp;Settings!$C$10,Sales!$B$7:$B$504,"&lt;="&amp;Settings!$C$11))</f>
        <v>260</v>
      </c>
      <c r="M15" s="1"/>
      <c r="N15" s="1"/>
      <c r="O15" s="1"/>
      <c r="P15" s="1"/>
    </row>
    <row r="16" customFormat="false" ht="21.75" hidden="false" customHeight="true" outlineLevel="0" collapsed="false">
      <c r="A16" s="1"/>
      <c r="B16" s="1"/>
      <c r="C16" s="1"/>
      <c r="D16" s="1"/>
      <c r="E16" s="16" t="str">
        <f aca="false">IF(COUNTIF(Production!$K$7:$K$204,"Due soon")&gt;0,"→  "&amp;COUNTIF(Production!$K$7:$K$204,"Due soon")&amp;" job(s) due soon.","✓  Nothing due soon")</f>
        <v>→  1 job(s) due soon.</v>
      </c>
      <c r="F16" s="16"/>
      <c r="G16" s="16"/>
      <c r="H16" s="16"/>
      <c r="I16" s="16"/>
      <c r="J16" s="1"/>
      <c r="K16" s="17" t="str">
        <f aca="false">Settings!$G$9</f>
        <v>Marketplace</v>
      </c>
      <c r="L16" s="18" t="n">
        <f aca="false">IF(K16="","",SUMIFS(Sales!$I$7:$I$504,Sales!$F$7:$F$504,K16,Sales!$B$7:$B$504,"&gt;="&amp;Settings!$C$10,Sales!$B$7:$B$504,"&lt;="&amp;Settings!$C$11))</f>
        <v>90</v>
      </c>
      <c r="M16" s="1"/>
      <c r="N16" s="1"/>
      <c r="O16" s="1"/>
      <c r="P16" s="1"/>
    </row>
    <row r="17" customFormat="false" ht="21.75" hidden="false" customHeight="true" outlineLevel="0" collapsed="false">
      <c r="A17" s="1"/>
      <c r="B17" s="1"/>
      <c r="C17" s="1"/>
      <c r="D17" s="1"/>
      <c r="E17" s="16" t="str">
        <f aca="false">IF(B14="–","No sales yet in this period","→  "&amp;B14&amp;" sells best. Enough in stock?")</f>
        <v>→  Fig candle sells best. Enough in stock?</v>
      </c>
      <c r="F17" s="16"/>
      <c r="G17" s="16"/>
      <c r="H17" s="16"/>
      <c r="I17" s="16"/>
      <c r="J17" s="1"/>
      <c r="K17" s="17" t="str">
        <f aca="false">Settings!$G$10</f>
        <v>Shop / in person</v>
      </c>
      <c r="L17" s="18" t="n">
        <f aca="false">IF(K17="","",SUMIFS(Sales!$I$7:$I$504,Sales!$F$7:$F$504,K17,Sales!$B$7:$B$504,"&gt;="&amp;Settings!$C$10,Sales!$B$7:$B$504,"&lt;="&amp;Settings!$C$11))</f>
        <v>169</v>
      </c>
      <c r="M17" s="1"/>
      <c r="N17" s="1"/>
      <c r="O17" s="1"/>
      <c r="P17" s="1"/>
    </row>
    <row r="18" customFormat="false" ht="21.75" hidden="false" customHeight="true" outlineLevel="0" collapsed="false">
      <c r="A18" s="1"/>
      <c r="B18" s="1"/>
      <c r="C18" s="1"/>
      <c r="D18" s="1"/>
      <c r="E18" s="1"/>
      <c r="F18" s="1"/>
      <c r="G18" s="1"/>
      <c r="H18" s="1"/>
      <c r="I18" s="1"/>
      <c r="J18" s="1"/>
      <c r="K18" s="17" t="str">
        <f aca="false">Settings!$G$11</f>
        <v>WhatsApp</v>
      </c>
      <c r="L18" s="18" t="n">
        <f aca="false">IF(K18="","",SUMIFS(Sales!$I$7:$I$504,Sales!$F$7:$F$504,K18,Sales!$B$7:$B$504,"&gt;="&amp;Settings!$C$10,Sales!$B$7:$B$504,"&lt;="&amp;Settings!$C$11))</f>
        <v>38</v>
      </c>
      <c r="M18" s="1"/>
      <c r="N18" s="1"/>
      <c r="O18" s="1"/>
      <c r="P18" s="1"/>
    </row>
    <row r="19" customFormat="false" ht="21.75" hidden="false" customHeight="true" outlineLevel="0" collapsed="false">
      <c r="A19" s="1"/>
      <c r="B19" s="9" t="s">
        <v>33</v>
      </c>
      <c r="C19" s="13"/>
      <c r="D19" s="13"/>
      <c r="E19" s="13"/>
      <c r="F19" s="13"/>
      <c r="G19" s="13"/>
      <c r="H19" s="13"/>
      <c r="I19" s="13"/>
      <c r="J19" s="1"/>
      <c r="K19" s="17" t="str">
        <f aca="false">Settings!$G$12</f>
        <v>Wholesale</v>
      </c>
      <c r="L19" s="18" t="n">
        <f aca="false">IF(K19="","",SUMIFS(Sales!$I$7:$I$504,Sales!$F$7:$F$504,K19,Sales!$B$7:$B$504,"&gt;="&amp;Settings!$C$10,Sales!$B$7:$B$504,"&lt;="&amp;Settings!$C$11))</f>
        <v>120</v>
      </c>
      <c r="M19" s="1"/>
      <c r="N19" s="1"/>
      <c r="O19" s="1"/>
      <c r="P19" s="1"/>
    </row>
    <row r="20" customFormat="false" ht="21.75" hidden="false" customHeight="true" outlineLevel="0" collapsed="false">
      <c r="A20" s="1"/>
      <c r="B20" s="1"/>
      <c r="C20" s="1"/>
      <c r="D20" s="1"/>
      <c r="E20" s="1"/>
      <c r="F20" s="1"/>
      <c r="G20" s="1"/>
      <c r="H20" s="1"/>
      <c r="I20" s="1"/>
      <c r="J20" s="1"/>
      <c r="K20" s="1"/>
      <c r="L20" s="1"/>
      <c r="M20" s="1"/>
      <c r="N20" s="1"/>
      <c r="O20" s="1"/>
      <c r="P20" s="1"/>
    </row>
    <row r="21" customFormat="false" ht="21.75" hidden="false" customHeight="true" outlineLevel="0" collapsed="false">
      <c r="A21" s="1"/>
      <c r="B21" s="1"/>
      <c r="C21" s="1"/>
      <c r="D21" s="1"/>
      <c r="E21" s="1"/>
      <c r="F21" s="1"/>
      <c r="G21" s="1"/>
      <c r="H21" s="1"/>
      <c r="I21" s="1"/>
      <c r="J21" s="1"/>
      <c r="K21" s="1"/>
      <c r="L21" s="1"/>
      <c r="M21" s="1"/>
      <c r="N21" s="1"/>
      <c r="O21" s="1"/>
      <c r="P21" s="1"/>
    </row>
    <row r="22" customFormat="false" ht="21.75" hidden="false" customHeight="true" outlineLevel="0" collapsed="false">
      <c r="A22" s="1"/>
      <c r="B22" s="1"/>
      <c r="C22" s="1"/>
      <c r="D22" s="1"/>
      <c r="E22" s="1"/>
      <c r="F22" s="1"/>
      <c r="G22" s="1"/>
      <c r="H22" s="1"/>
      <c r="I22" s="1"/>
      <c r="J22" s="1"/>
      <c r="K22" s="1"/>
      <c r="L22" s="1"/>
      <c r="M22" s="1"/>
      <c r="N22" s="1"/>
      <c r="O22" s="1"/>
      <c r="P22" s="1"/>
    </row>
    <row r="23" customFormat="false" ht="21.75" hidden="false" customHeight="true" outlineLevel="0" collapsed="false">
      <c r="A23" s="1"/>
      <c r="B23" s="1"/>
      <c r="C23" s="1"/>
      <c r="D23" s="1"/>
      <c r="E23" s="1"/>
      <c r="F23" s="1"/>
      <c r="G23" s="1"/>
      <c r="H23" s="1"/>
      <c r="I23" s="1"/>
      <c r="J23" s="1"/>
      <c r="K23" s="1"/>
      <c r="L23" s="1"/>
      <c r="M23" s="1"/>
      <c r="N23" s="1"/>
      <c r="O23" s="1"/>
      <c r="P23" s="1"/>
    </row>
    <row r="24" customFormat="false" ht="21.75" hidden="false" customHeight="true" outlineLevel="0" collapsed="false">
      <c r="A24" s="1"/>
      <c r="B24" s="1"/>
      <c r="C24" s="1"/>
      <c r="D24" s="1"/>
      <c r="E24" s="1"/>
      <c r="F24" s="1"/>
      <c r="G24" s="1"/>
      <c r="H24" s="1"/>
      <c r="I24" s="1"/>
      <c r="J24" s="1"/>
      <c r="K24" s="1"/>
      <c r="L24" s="1"/>
      <c r="M24" s="1"/>
      <c r="N24" s="1"/>
      <c r="O24" s="1"/>
      <c r="P24" s="1"/>
    </row>
    <row r="25" customFormat="false" ht="21.75" hidden="false" customHeight="true" outlineLevel="0" collapsed="false">
      <c r="A25" s="1"/>
      <c r="B25" s="1"/>
      <c r="C25" s="1"/>
      <c r="D25" s="1"/>
      <c r="E25" s="1"/>
      <c r="F25" s="1"/>
      <c r="G25" s="1"/>
      <c r="H25" s="1"/>
      <c r="I25" s="1"/>
      <c r="J25" s="1"/>
      <c r="K25" s="1"/>
      <c r="L25" s="1"/>
      <c r="M25" s="1"/>
      <c r="N25" s="1"/>
      <c r="O25" s="1"/>
      <c r="P25" s="1"/>
    </row>
    <row r="26" customFormat="false" ht="21.75" hidden="false" customHeight="true" outlineLevel="0" collapsed="false">
      <c r="A26" s="1"/>
      <c r="B26" s="1"/>
      <c r="C26" s="1"/>
      <c r="D26" s="1"/>
      <c r="E26" s="1"/>
      <c r="F26" s="1"/>
      <c r="G26" s="1"/>
      <c r="H26" s="1"/>
      <c r="I26" s="1"/>
      <c r="J26" s="1"/>
      <c r="K26" s="1"/>
      <c r="L26" s="1"/>
      <c r="M26" s="1"/>
      <c r="N26" s="1"/>
      <c r="O26" s="1"/>
      <c r="P26" s="1"/>
    </row>
    <row r="27" customFormat="false" ht="21.75" hidden="false" customHeight="true" outlineLevel="0" collapsed="false">
      <c r="A27" s="1"/>
      <c r="B27" s="1"/>
      <c r="C27" s="1"/>
      <c r="D27" s="1"/>
      <c r="E27" s="1"/>
      <c r="F27" s="1"/>
      <c r="G27" s="1"/>
      <c r="H27" s="1"/>
      <c r="I27" s="1"/>
      <c r="J27" s="1"/>
      <c r="K27" s="1"/>
      <c r="L27" s="1"/>
      <c r="M27" s="1"/>
      <c r="N27" s="1"/>
      <c r="O27" s="1"/>
      <c r="P27" s="1"/>
    </row>
    <row r="28" customFormat="false" ht="21.75" hidden="false" customHeight="true" outlineLevel="0" collapsed="false">
      <c r="A28" s="1"/>
      <c r="B28" s="1"/>
      <c r="C28" s="1"/>
      <c r="D28" s="1"/>
      <c r="E28" s="1"/>
      <c r="F28" s="1"/>
      <c r="G28" s="1"/>
      <c r="H28" s="1"/>
      <c r="I28" s="1"/>
      <c r="J28" s="1"/>
      <c r="K28" s="1"/>
      <c r="L28" s="1"/>
      <c r="M28" s="1"/>
      <c r="N28" s="1"/>
      <c r="O28" s="1"/>
      <c r="P28" s="1"/>
    </row>
    <row r="29" customFormat="false" ht="21.75" hidden="false" customHeight="true" outlineLevel="0" collapsed="false">
      <c r="A29" s="1"/>
      <c r="B29" s="1"/>
      <c r="C29" s="1"/>
      <c r="D29" s="1"/>
      <c r="E29" s="1"/>
      <c r="F29" s="1"/>
      <c r="G29" s="1"/>
      <c r="H29" s="1"/>
      <c r="I29" s="1"/>
      <c r="J29" s="1"/>
      <c r="K29" s="1"/>
      <c r="L29" s="1"/>
      <c r="M29" s="1"/>
      <c r="N29" s="1"/>
      <c r="O29" s="1"/>
      <c r="P29" s="1"/>
    </row>
    <row r="30" customFormat="false" ht="21.75" hidden="false" customHeight="true" outlineLevel="0" collapsed="false">
      <c r="A30" s="1"/>
      <c r="B30" s="1"/>
      <c r="C30" s="1"/>
      <c r="D30" s="1"/>
      <c r="E30" s="1"/>
      <c r="F30" s="1"/>
      <c r="G30" s="1"/>
      <c r="H30" s="1"/>
      <c r="I30" s="1"/>
      <c r="J30" s="1"/>
      <c r="K30" s="1"/>
      <c r="L30" s="1"/>
      <c r="M30" s="1"/>
      <c r="N30" s="1"/>
      <c r="O30" s="1"/>
      <c r="P30" s="1"/>
    </row>
    <row r="31" customFormat="false" ht="21.75" hidden="false" customHeight="true" outlineLevel="0" collapsed="false">
      <c r="A31" s="1"/>
      <c r="B31" s="1"/>
      <c r="C31" s="1"/>
      <c r="D31" s="1"/>
      <c r="E31" s="1"/>
      <c r="F31" s="1"/>
      <c r="G31" s="1"/>
      <c r="H31" s="1"/>
      <c r="I31" s="1"/>
      <c r="J31" s="1"/>
      <c r="K31" s="1"/>
      <c r="L31" s="1"/>
      <c r="M31" s="1"/>
      <c r="N31" s="1"/>
      <c r="O31" s="1"/>
      <c r="P31" s="1"/>
    </row>
    <row r="32" customFormat="false" ht="21.75" hidden="false" customHeight="true" outlineLevel="0" collapsed="false">
      <c r="A32" s="1"/>
      <c r="B32" s="1"/>
      <c r="C32" s="1"/>
      <c r="D32" s="1"/>
      <c r="E32" s="1"/>
      <c r="F32" s="1"/>
      <c r="G32" s="1"/>
      <c r="H32" s="1"/>
      <c r="I32" s="1"/>
      <c r="J32" s="1"/>
      <c r="K32" s="1"/>
      <c r="L32" s="1"/>
      <c r="M32" s="1"/>
      <c r="N32" s="1"/>
      <c r="O32" s="1"/>
      <c r="P32" s="1"/>
    </row>
    <row r="33" customFormat="false" ht="21.75" hidden="false" customHeight="true" outlineLevel="0" collapsed="false">
      <c r="A33" s="1"/>
      <c r="B33" s="1"/>
      <c r="C33" s="1"/>
      <c r="D33" s="1"/>
      <c r="E33" s="1"/>
      <c r="F33" s="1"/>
      <c r="G33" s="1"/>
      <c r="H33" s="1"/>
      <c r="I33" s="1"/>
      <c r="J33" s="1"/>
      <c r="K33" s="1"/>
      <c r="L33" s="1"/>
      <c r="M33" s="1"/>
      <c r="N33" s="1"/>
      <c r="O33" s="1"/>
      <c r="P33" s="1"/>
    </row>
    <row r="34" customFormat="false" ht="21.75" hidden="false" customHeight="true" outlineLevel="0" collapsed="false">
      <c r="A34" s="1"/>
      <c r="B34" s="19" t="s">
        <v>34</v>
      </c>
      <c r="C34" s="1"/>
      <c r="D34" s="1"/>
      <c r="E34" s="1"/>
      <c r="F34" s="1"/>
      <c r="G34" s="1"/>
      <c r="H34" s="1"/>
      <c r="I34" s="1"/>
      <c r="J34" s="1"/>
      <c r="K34" s="1"/>
      <c r="L34" s="1"/>
      <c r="M34" s="1"/>
      <c r="N34" s="1"/>
      <c r="O34" s="1"/>
      <c r="P34" s="1"/>
    </row>
    <row r="35" customFormat="false" ht="21.75" hidden="false" customHeight="true" outlineLevel="0" collapsed="false">
      <c r="A35" s="1"/>
      <c r="B35" s="1"/>
      <c r="C35" s="1"/>
      <c r="D35" s="1"/>
      <c r="E35" s="1"/>
      <c r="F35" s="1"/>
      <c r="G35" s="1"/>
      <c r="H35" s="1"/>
      <c r="I35" s="1"/>
      <c r="J35" s="1"/>
      <c r="K35" s="1"/>
      <c r="L35" s="1"/>
      <c r="M35" s="1"/>
      <c r="N35" s="1"/>
      <c r="O35" s="1"/>
      <c r="P35" s="1"/>
    </row>
    <row r="36" customFormat="false" ht="21.75" hidden="false" customHeight="true" outlineLevel="0" collapsed="false">
      <c r="A36" s="1"/>
      <c r="B36" s="1"/>
      <c r="C36" s="1"/>
      <c r="D36" s="1"/>
      <c r="E36" s="1"/>
      <c r="F36" s="1"/>
      <c r="G36" s="1"/>
      <c r="H36" s="1"/>
      <c r="I36" s="1"/>
      <c r="J36" s="1"/>
      <c r="K36" s="1"/>
      <c r="L36" s="1"/>
      <c r="M36" s="1"/>
      <c r="N36" s="1"/>
      <c r="O36" s="1"/>
      <c r="P36" s="1"/>
    </row>
    <row r="37" customFormat="false" ht="21.75" hidden="false" customHeight="true" outlineLevel="0" collapsed="false">
      <c r="A37" s="1"/>
      <c r="B37" s="1"/>
      <c r="C37" s="1"/>
      <c r="D37" s="1"/>
      <c r="E37" s="1"/>
      <c r="F37" s="1"/>
      <c r="G37" s="1"/>
      <c r="H37" s="1"/>
      <c r="I37" s="1"/>
      <c r="J37" s="1"/>
      <c r="K37" s="1"/>
      <c r="L37" s="1"/>
      <c r="M37" s="1"/>
      <c r="N37" s="1"/>
      <c r="O37" s="1"/>
      <c r="P37" s="1"/>
    </row>
    <row r="38" customFormat="false" ht="21.75" hidden="false" customHeight="true" outlineLevel="0" collapsed="false">
      <c r="A38" s="1"/>
      <c r="B38" s="1"/>
      <c r="C38" s="1"/>
      <c r="D38" s="1"/>
      <c r="E38" s="1"/>
      <c r="F38" s="1"/>
      <c r="G38" s="1"/>
      <c r="H38" s="1"/>
      <c r="I38" s="1"/>
      <c r="J38" s="1"/>
      <c r="K38" s="2" t="s">
        <v>35</v>
      </c>
      <c r="L38" s="1"/>
      <c r="M38" s="1"/>
      <c r="N38" s="1"/>
      <c r="O38" s="1"/>
      <c r="P38" s="1"/>
    </row>
    <row r="39" customFormat="false" ht="21.75" hidden="false" customHeight="true" outlineLevel="0" collapsed="false">
      <c r="A39" s="1"/>
      <c r="B39" s="1"/>
      <c r="C39" s="1"/>
      <c r="D39" s="1"/>
      <c r="E39" s="1"/>
      <c r="F39" s="1"/>
      <c r="G39" s="1"/>
      <c r="H39" s="1"/>
      <c r="I39" s="1"/>
      <c r="J39" s="1"/>
      <c r="K39" s="14" t="s">
        <v>36</v>
      </c>
      <c r="L39" s="14" t="s">
        <v>37</v>
      </c>
      <c r="M39" s="1"/>
      <c r="N39" s="1"/>
      <c r="O39" s="1"/>
      <c r="P39" s="1"/>
    </row>
    <row r="40" customFormat="false" ht="21.75" hidden="false" customHeight="true" outlineLevel="0" collapsed="false">
      <c r="A40" s="1"/>
      <c r="B40" s="1"/>
      <c r="C40" s="1"/>
      <c r="D40" s="1"/>
      <c r="E40" s="1"/>
      <c r="F40" s="1"/>
      <c r="G40" s="1"/>
      <c r="H40" s="1"/>
      <c r="I40" s="1"/>
      <c r="J40" s="1"/>
      <c r="K40" s="20" t="str">
        <f aca="false">TEXT(Settings!$C$9-7*7-6,"dd mmm")</f>
        <v>22 Aug</v>
      </c>
      <c r="L40" s="21" t="n">
        <f aca="false">SUMIFS(Sales!$I$7:$I$504,Sales!$B$7:$B$504,"&gt;="&amp;(Settings!$C$9-7*7-6),Sales!$B$7:$B$504,"&lt;="&amp;(Settings!$C$9-7*7))</f>
        <v>98</v>
      </c>
      <c r="M40" s="1"/>
      <c r="N40" s="1"/>
      <c r="O40" s="1"/>
      <c r="P40" s="1"/>
    </row>
    <row r="41" customFormat="false" ht="21.75" hidden="false" customHeight="true" outlineLevel="0" collapsed="false">
      <c r="A41" s="1"/>
      <c r="B41" s="1"/>
      <c r="C41" s="1"/>
      <c r="D41" s="1"/>
      <c r="E41" s="1"/>
      <c r="F41" s="1"/>
      <c r="G41" s="1"/>
      <c r="H41" s="1"/>
      <c r="I41" s="1"/>
      <c r="J41" s="1"/>
      <c r="K41" s="20" t="str">
        <f aca="false">TEXT(Settings!$C$9-7*6-6,"dd mmm")</f>
        <v>29 Aug</v>
      </c>
      <c r="L41" s="21" t="n">
        <f aca="false">SUMIFS(Sales!$I$7:$I$504,Sales!$B$7:$B$504,"&gt;="&amp;(Settings!$C$9-7*6-6),Sales!$B$7:$B$504,"&lt;="&amp;(Settings!$C$9-7*6))</f>
        <v>145</v>
      </c>
      <c r="M41" s="1"/>
      <c r="N41" s="1"/>
      <c r="O41" s="1"/>
      <c r="P41" s="1"/>
    </row>
    <row r="42" customFormat="false" ht="21.75" hidden="false" customHeight="true" outlineLevel="0" collapsed="false">
      <c r="A42" s="1"/>
      <c r="B42" s="1"/>
      <c r="C42" s="1"/>
      <c r="D42" s="1"/>
      <c r="E42" s="1"/>
      <c r="F42" s="1"/>
      <c r="G42" s="1"/>
      <c r="H42" s="1"/>
      <c r="I42" s="1"/>
      <c r="J42" s="1"/>
      <c r="K42" s="20" t="str">
        <f aca="false">TEXT(Settings!$C$9-7*5-6,"dd mmm")</f>
        <v>05 Sep</v>
      </c>
      <c r="L42" s="21" t="n">
        <f aca="false">SUMIFS(Sales!$I$7:$I$504,Sales!$B$7:$B$504,"&gt;="&amp;(Settings!$C$9-7*5-6),Sales!$B$7:$B$504,"&lt;="&amp;(Settings!$C$9-7*5))</f>
        <v>211</v>
      </c>
      <c r="M42" s="1"/>
      <c r="N42" s="1"/>
      <c r="O42" s="1"/>
      <c r="P42" s="1"/>
    </row>
    <row r="43" customFormat="false" ht="21.75" hidden="false" customHeight="true" outlineLevel="0" collapsed="false">
      <c r="A43" s="1"/>
      <c r="B43" s="1"/>
      <c r="C43" s="1"/>
      <c r="D43" s="1"/>
      <c r="E43" s="1"/>
      <c r="F43" s="1"/>
      <c r="G43" s="1"/>
      <c r="H43" s="1"/>
      <c r="I43" s="1"/>
      <c r="J43" s="1"/>
      <c r="K43" s="20" t="str">
        <f aca="false">TEXT(Settings!$C$9-7*4-6,"dd mmm")</f>
        <v>12 Sep</v>
      </c>
      <c r="L43" s="21" t="n">
        <f aca="false">SUMIFS(Sales!$I$7:$I$504,Sales!$B$7:$B$504,"&gt;="&amp;(Settings!$C$9-7*4-6),Sales!$B$7:$B$504,"&lt;="&amp;(Settings!$C$9-7*4))</f>
        <v>196</v>
      </c>
      <c r="M43" s="1"/>
      <c r="N43" s="1"/>
      <c r="O43" s="1"/>
      <c r="P43" s="1"/>
    </row>
    <row r="44" customFormat="false" ht="21.75" hidden="false" customHeight="true" outlineLevel="0" collapsed="false">
      <c r="A44" s="1"/>
      <c r="B44" s="1"/>
      <c r="C44" s="1"/>
      <c r="D44" s="1"/>
      <c r="E44" s="1"/>
      <c r="F44" s="1"/>
      <c r="G44" s="1"/>
      <c r="H44" s="1"/>
      <c r="I44" s="1"/>
      <c r="J44" s="1"/>
      <c r="K44" s="20" t="str">
        <f aca="false">TEXT(Settings!$C$9-7*3-6,"dd mmm")</f>
        <v>19 Sep</v>
      </c>
      <c r="L44" s="21" t="n">
        <f aca="false">SUMIFS(Sales!$I$7:$I$504,Sales!$B$7:$B$504,"&gt;="&amp;(Settings!$C$9-7*3-6),Sales!$B$7:$B$504,"&lt;="&amp;(Settings!$C$9-7*3))</f>
        <v>155</v>
      </c>
      <c r="M44" s="1"/>
      <c r="N44" s="1"/>
      <c r="O44" s="1"/>
      <c r="P44" s="1"/>
    </row>
    <row r="45" customFormat="false" ht="21.75" hidden="false" customHeight="true" outlineLevel="0" collapsed="false">
      <c r="A45" s="1"/>
      <c r="B45" s="1"/>
      <c r="C45" s="1"/>
      <c r="D45" s="1"/>
      <c r="E45" s="1"/>
      <c r="F45" s="1"/>
      <c r="G45" s="1"/>
      <c r="H45" s="1"/>
      <c r="I45" s="1"/>
      <c r="J45" s="1"/>
      <c r="K45" s="20" t="str">
        <f aca="false">TEXT(Settings!$C$9-7*2-6,"dd mmm")</f>
        <v>26 Sep</v>
      </c>
      <c r="L45" s="21" t="n">
        <f aca="false">SUMIFS(Sales!$I$7:$I$504,Sales!$B$7:$B$504,"&gt;="&amp;(Settings!$C$9-7*2-6),Sales!$B$7:$B$504,"&lt;="&amp;(Settings!$C$9-7*2))</f>
        <v>174</v>
      </c>
      <c r="M45" s="1"/>
      <c r="N45" s="1"/>
      <c r="O45" s="1"/>
      <c r="P45" s="1"/>
    </row>
    <row r="46" customFormat="false" ht="21.75" hidden="false" customHeight="true" outlineLevel="0" collapsed="false">
      <c r="A46" s="1"/>
      <c r="B46" s="1"/>
      <c r="C46" s="1"/>
      <c r="D46" s="1"/>
      <c r="E46" s="1"/>
      <c r="F46" s="1"/>
      <c r="G46" s="1"/>
      <c r="H46" s="1"/>
      <c r="I46" s="1"/>
      <c r="J46" s="1"/>
      <c r="K46" s="20" t="str">
        <f aca="false">TEXT(Settings!$C$9-7*1-6,"dd mmm")</f>
        <v>03 Oct</v>
      </c>
      <c r="L46" s="21" t="n">
        <f aca="false">SUMIFS(Sales!$I$7:$I$504,Sales!$B$7:$B$504,"&gt;="&amp;(Settings!$C$9-7*1-6),Sales!$B$7:$B$504,"&lt;="&amp;(Settings!$C$9-7*1))</f>
        <v>223</v>
      </c>
      <c r="M46" s="1"/>
      <c r="N46" s="1"/>
      <c r="O46" s="1"/>
      <c r="P46" s="1"/>
    </row>
    <row r="47" customFormat="false" ht="21.75" hidden="false" customHeight="true" outlineLevel="0" collapsed="false">
      <c r="A47" s="1"/>
      <c r="B47" s="1"/>
      <c r="C47" s="1"/>
      <c r="D47" s="1"/>
      <c r="E47" s="1"/>
      <c r="F47" s="1"/>
      <c r="G47" s="1"/>
      <c r="H47" s="1"/>
      <c r="I47" s="1"/>
      <c r="J47" s="1"/>
      <c r="K47" s="20" t="str">
        <f aca="false">TEXT(Settings!$C$9-7*0-6,"dd mmm")</f>
        <v>10 Oct</v>
      </c>
      <c r="L47" s="21" t="n">
        <f aca="false">SUMIFS(Sales!$I$7:$I$504,Sales!$B$7:$B$504,"&gt;="&amp;(Settings!$C$9-7*0-6),Sales!$B$7:$B$504,"&lt;="&amp;(Settings!$C$9-7*0))</f>
        <v>341</v>
      </c>
      <c r="M47" s="1"/>
      <c r="N47" s="1"/>
      <c r="O47" s="1"/>
      <c r="P47" s="1"/>
    </row>
    <row r="48" customFormat="false" ht="21.75" hidden="false" customHeight="true" outlineLevel="0" collapsed="false">
      <c r="A48" s="1"/>
      <c r="B48" s="1"/>
      <c r="C48" s="1"/>
      <c r="D48" s="1"/>
      <c r="E48" s="1"/>
      <c r="F48" s="1"/>
      <c r="G48" s="1"/>
      <c r="H48" s="1"/>
      <c r="I48" s="1"/>
      <c r="J48" s="1"/>
      <c r="K48" s="1"/>
      <c r="L48" s="1"/>
      <c r="M48" s="1"/>
      <c r="N48" s="1"/>
      <c r="O48" s="1"/>
      <c r="P48" s="1"/>
    </row>
    <row r="49" customFormat="false" ht="21.75" hidden="false" customHeight="true" outlineLevel="0" collapsed="false">
      <c r="A49" s="1"/>
      <c r="B49" s="1"/>
      <c r="C49" s="1"/>
      <c r="D49" s="1"/>
      <c r="E49" s="1"/>
      <c r="F49" s="1"/>
      <c r="G49" s="1"/>
      <c r="H49" s="1"/>
      <c r="I49" s="1"/>
      <c r="J49" s="1"/>
      <c r="K49" s="1"/>
      <c r="L49" s="1"/>
      <c r="M49" s="1"/>
      <c r="N49" s="1"/>
      <c r="O49" s="1"/>
      <c r="P49" s="1"/>
    </row>
    <row r="50" customFormat="false" ht="21.75" hidden="false" customHeight="true" outlineLevel="0" collapsed="false">
      <c r="A50" s="1"/>
      <c r="B50" s="1"/>
      <c r="C50" s="1"/>
      <c r="D50" s="1"/>
      <c r="E50" s="1"/>
      <c r="F50" s="1"/>
      <c r="G50" s="1"/>
      <c r="H50" s="1"/>
      <c r="I50" s="1"/>
      <c r="J50" s="1"/>
      <c r="K50" s="1"/>
      <c r="L50" s="1"/>
      <c r="M50" s="1"/>
      <c r="N50" s="1"/>
      <c r="O50" s="1"/>
      <c r="P50" s="1"/>
    </row>
    <row r="51" customFormat="false" ht="21.75" hidden="false" customHeight="true" outlineLevel="0" collapsed="false">
      <c r="A51" s="1"/>
      <c r="B51" s="1"/>
      <c r="C51" s="1"/>
      <c r="D51" s="1"/>
      <c r="E51" s="1"/>
      <c r="F51" s="1"/>
      <c r="G51" s="1"/>
      <c r="H51" s="1"/>
      <c r="I51" s="1"/>
      <c r="J51" s="1"/>
      <c r="K51" s="1"/>
      <c r="L51" s="1"/>
      <c r="M51" s="1"/>
      <c r="N51" s="1"/>
      <c r="O51" s="1"/>
      <c r="P51" s="1"/>
    </row>
    <row r="52" customFormat="false" ht="21.75" hidden="false" customHeight="true" outlineLevel="0" collapsed="false">
      <c r="A52" s="1"/>
      <c r="B52" s="1"/>
      <c r="C52" s="1"/>
      <c r="D52" s="1"/>
      <c r="E52" s="1"/>
      <c r="F52" s="1"/>
      <c r="G52" s="1"/>
      <c r="H52" s="1"/>
      <c r="I52" s="1"/>
      <c r="J52" s="1"/>
      <c r="K52" s="1"/>
      <c r="L52" s="1"/>
      <c r="M52" s="1"/>
      <c r="N52" s="1"/>
      <c r="O52" s="1"/>
      <c r="P52" s="1"/>
    </row>
    <row r="53" customFormat="false" ht="21.75" hidden="false" customHeight="true" outlineLevel="0" collapsed="false">
      <c r="A53" s="1"/>
      <c r="B53" s="1"/>
      <c r="C53" s="1"/>
      <c r="D53" s="1"/>
      <c r="E53" s="1"/>
      <c r="F53" s="1"/>
      <c r="G53" s="1"/>
      <c r="H53" s="1"/>
      <c r="I53" s="1"/>
      <c r="J53" s="1"/>
      <c r="K53" s="1"/>
      <c r="L53" s="1"/>
      <c r="M53" s="1"/>
      <c r="N53" s="1"/>
      <c r="O53" s="1"/>
      <c r="P53" s="1"/>
    </row>
    <row r="54" customFormat="false" ht="21.75" hidden="false" customHeight="true" outlineLevel="0" collapsed="false">
      <c r="A54" s="1"/>
      <c r="B54" s="1"/>
      <c r="C54" s="1"/>
      <c r="D54" s="1"/>
      <c r="E54" s="1"/>
      <c r="F54" s="1"/>
      <c r="G54" s="1"/>
      <c r="H54" s="1"/>
      <c r="I54" s="1"/>
      <c r="J54" s="1"/>
      <c r="K54" s="1"/>
      <c r="L54" s="1"/>
      <c r="M54" s="1"/>
      <c r="N54" s="1"/>
      <c r="O54" s="1"/>
      <c r="P54" s="1"/>
    </row>
    <row r="55" customFormat="false" ht="21.75" hidden="false" customHeight="true" outlineLevel="0" collapsed="false">
      <c r="A55" s="1"/>
      <c r="B55" s="1"/>
      <c r="C55" s="1"/>
      <c r="D55" s="1"/>
      <c r="E55" s="1"/>
      <c r="F55" s="1"/>
      <c r="G55" s="1"/>
      <c r="H55" s="1"/>
      <c r="I55" s="1"/>
      <c r="J55" s="1"/>
      <c r="K55" s="1"/>
      <c r="L55" s="1"/>
      <c r="M55" s="1"/>
      <c r="N55" s="1"/>
      <c r="O55" s="1"/>
      <c r="P55" s="1"/>
    </row>
    <row r="56" customFormat="false" ht="21.75" hidden="false" customHeight="true" outlineLevel="0" collapsed="false">
      <c r="A56" s="1"/>
      <c r="B56" s="1"/>
      <c r="C56" s="1"/>
      <c r="D56" s="1"/>
      <c r="E56" s="1"/>
      <c r="F56" s="1"/>
      <c r="G56" s="1"/>
      <c r="H56" s="1"/>
      <c r="I56" s="1"/>
      <c r="J56" s="1"/>
      <c r="K56" s="1"/>
      <c r="L56" s="1"/>
      <c r="M56" s="1"/>
      <c r="N56" s="1"/>
      <c r="O56" s="1"/>
      <c r="P56" s="1"/>
    </row>
    <row r="57" customFormat="false" ht="21.75" hidden="false" customHeight="true" outlineLevel="0" collapsed="false">
      <c r="A57" s="1"/>
      <c r="B57" s="1"/>
      <c r="C57" s="1"/>
      <c r="D57" s="1"/>
      <c r="E57" s="1"/>
      <c r="F57" s="1"/>
      <c r="G57" s="1"/>
      <c r="H57" s="1"/>
      <c r="I57" s="1"/>
      <c r="J57" s="1"/>
      <c r="K57" s="1"/>
      <c r="L57" s="1"/>
      <c r="M57" s="1"/>
      <c r="N57" s="1"/>
      <c r="O57" s="1"/>
      <c r="P57" s="1"/>
    </row>
    <row r="58" customFormat="false" ht="21.75" hidden="false" customHeight="true" outlineLevel="0" collapsed="false">
      <c r="A58" s="1"/>
      <c r="B58" s="1"/>
      <c r="C58" s="1"/>
      <c r="D58" s="1"/>
      <c r="E58" s="1"/>
      <c r="F58" s="1"/>
      <c r="G58" s="1"/>
      <c r="H58" s="1"/>
      <c r="I58" s="1"/>
      <c r="J58" s="1"/>
      <c r="K58" s="1"/>
      <c r="L58" s="1"/>
      <c r="M58" s="1"/>
      <c r="N58" s="1"/>
      <c r="O58" s="1"/>
      <c r="P58" s="1"/>
    </row>
    <row r="59" customFormat="false" ht="21.75" hidden="false" customHeight="true" outlineLevel="0" collapsed="false">
      <c r="A59" s="1"/>
      <c r="B59" s="1"/>
      <c r="C59" s="1"/>
      <c r="D59" s="1"/>
      <c r="E59" s="1"/>
      <c r="F59" s="1"/>
      <c r="G59" s="1"/>
      <c r="H59" s="1"/>
      <c r="I59" s="1"/>
      <c r="J59" s="1"/>
      <c r="K59" s="1"/>
      <c r="L59" s="1"/>
      <c r="M59" s="1"/>
      <c r="N59" s="1"/>
      <c r="O59" s="1"/>
      <c r="P59" s="1"/>
    </row>
    <row r="60" customFormat="false" ht="21.75" hidden="false" customHeight="true" outlineLevel="0" collapsed="false">
      <c r="A60" s="1"/>
      <c r="B60" s="1"/>
      <c r="C60" s="1"/>
      <c r="D60" s="1"/>
      <c r="E60" s="1"/>
      <c r="F60" s="1"/>
      <c r="G60" s="1"/>
      <c r="H60" s="1"/>
      <c r="I60" s="1"/>
      <c r="J60" s="1"/>
      <c r="K60" s="1"/>
      <c r="L60" s="1"/>
      <c r="M60" s="1"/>
      <c r="N60" s="1"/>
      <c r="O60" s="1"/>
      <c r="P60" s="1"/>
    </row>
  </sheetData>
  <sheetProtection sheet="true" formatColumns="false" formatRows="false" sort="false" autoFilter="false"/>
  <mergeCells count="16">
    <mergeCell ref="B7:C7"/>
    <mergeCell ref="E7:F7"/>
    <mergeCell ref="H7:I7"/>
    <mergeCell ref="B8:C8"/>
    <mergeCell ref="E8:F8"/>
    <mergeCell ref="H8:I8"/>
    <mergeCell ref="B10:C10"/>
    <mergeCell ref="E10:F10"/>
    <mergeCell ref="H10:I10"/>
    <mergeCell ref="B11:C11"/>
    <mergeCell ref="E11:F11"/>
    <mergeCell ref="H11:I11"/>
    <mergeCell ref="E14:I14"/>
    <mergeCell ref="E15:I15"/>
    <mergeCell ref="E16:I16"/>
    <mergeCell ref="E17:I17"/>
  </mergeCells>
  <conditionalFormatting sqref="B11">
    <cfRule type="expression" priority="2" aboveAverage="0" equalAverage="0" bottom="0" percent="0" rank="0" text="" dxfId="0">
      <formula>B11&gt;0</formula>
    </cfRule>
  </conditionalFormatting>
  <conditionalFormatting sqref="E11">
    <cfRule type="expression" priority="3" aboveAverage="0" equalAverage="0" bottom="0" percent="0" rank="0" text="" dxfId="0">
      <formula>E11&gt;0</formula>
    </cfRule>
  </conditionalFormatting>
  <conditionalFormatting sqref="L14:L19">
    <cfRule type="dataBar" priority="4">
      <dataBar showValue="1" minLength="10" maxLength="90">
        <cfvo type="num" val="0"/>
        <cfvo type="max" val="0"/>
        <color rgb="FFC9C5BD"/>
      </dataBar>
      <extLst>
        <ext xmlns:x14="http://schemas.microsoft.com/office/spreadsheetml/2009/9/main" uri="{B025F937-C7B1-47D3-B67F-A62EFF666E3E}">
          <x14:id>{E03BC7E5-B7D6-417D-8FE8-BD10F8BE584D}</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03BC7E5-B7D6-417D-8FE8-BD10F8BE584D}">
            <x14:dataBar minLength="10" maxLength="90" axisPosition="none" gradient="true">
              <x14:cfvo type="num">
                <xm:f>0</xm:f>
              </x14:cfvo>
              <x14:cfvo type="max"/>
              <x14:negativeFillColor rgb="FFC9C5BD"/>
              <x14:axisColor rgb="FF000000"/>
            </x14:dataBar>
          </x14:cfRule>
          <xm:sqref>L14:L19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8"/>
    <col collapsed="false" customWidth="true" hidden="false" outlineLevel="0" max="4" min="4" style="0" width="4"/>
    <col collapsed="false" customWidth="true" hidden="false" outlineLevel="0" max="5" min="5" style="0" width="22"/>
    <col collapsed="false" customWidth="true" hidden="false" outlineLevel="0" max="6" min="6" style="0" width="4"/>
    <col collapsed="false" customWidth="true" hidden="false" outlineLevel="0" max="7" min="7" style="0" width="24"/>
  </cols>
  <sheetData>
    <row r="1" customFormat="false" ht="21.75" hidden="false" customHeight="true" outlineLevel="0" collapsed="false">
      <c r="A1" s="1"/>
      <c r="B1" s="1"/>
      <c r="C1" s="1"/>
      <c r="D1" s="1"/>
      <c r="E1" s="1"/>
      <c r="F1" s="1"/>
      <c r="G1" s="1"/>
      <c r="H1" s="1"/>
      <c r="I1" s="1"/>
      <c r="J1" s="1"/>
      <c r="K1" s="1"/>
      <c r="L1" s="1"/>
    </row>
    <row r="2" customFormat="false" ht="21.75" hidden="false" customHeight="true" outlineLevel="0" collapsed="false">
      <c r="A2" s="1"/>
      <c r="B2" s="2" t="s">
        <v>38</v>
      </c>
      <c r="C2" s="1"/>
      <c r="D2" s="1"/>
      <c r="E2" s="1"/>
      <c r="F2" s="1"/>
      <c r="G2" s="1"/>
      <c r="H2" s="1"/>
      <c r="I2" s="1"/>
      <c r="J2" s="1"/>
      <c r="K2" s="1"/>
      <c r="L2" s="1"/>
    </row>
    <row r="3" customFormat="false" ht="39.75" hidden="false" customHeight="true" outlineLevel="0" collapsed="false">
      <c r="A3" s="1"/>
      <c r="B3" s="3" t="s">
        <v>39</v>
      </c>
      <c r="C3" s="1"/>
      <c r="D3" s="1"/>
      <c r="E3" s="1"/>
      <c r="F3" s="1"/>
      <c r="G3" s="1"/>
      <c r="H3" s="1"/>
      <c r="I3" s="1"/>
      <c r="J3" s="1"/>
      <c r="K3" s="1"/>
      <c r="L3" s="1"/>
    </row>
    <row r="4" customFormat="false" ht="21.75" hidden="false" customHeight="true" outlineLevel="0" collapsed="false">
      <c r="A4" s="1"/>
      <c r="B4" s="4" t="s">
        <v>40</v>
      </c>
      <c r="C4" s="1"/>
      <c r="D4" s="1"/>
      <c r="E4" s="1"/>
      <c r="F4" s="1"/>
      <c r="G4" s="1"/>
      <c r="H4" s="1"/>
      <c r="I4" s="1"/>
      <c r="J4" s="1"/>
      <c r="K4" s="1"/>
      <c r="L4" s="1"/>
    </row>
    <row r="5" customFormat="false" ht="21.75" hidden="false" customHeight="true" outlineLevel="0" collapsed="false">
      <c r="A5" s="1"/>
      <c r="B5" s="1"/>
      <c r="C5" s="1"/>
      <c r="D5" s="1"/>
      <c r="E5" s="1"/>
      <c r="F5" s="1"/>
      <c r="G5" s="1"/>
      <c r="H5" s="1"/>
      <c r="I5" s="1"/>
      <c r="J5" s="1"/>
      <c r="K5" s="1"/>
      <c r="L5" s="1"/>
    </row>
    <row r="6" customFormat="false" ht="21.75" hidden="false" customHeight="true" outlineLevel="0" collapsed="false">
      <c r="A6" s="1"/>
      <c r="B6" s="1"/>
      <c r="C6" s="1"/>
      <c r="D6" s="1"/>
      <c r="E6" s="14" t="s">
        <v>41</v>
      </c>
      <c r="F6" s="1"/>
      <c r="G6" s="14" t="s">
        <v>42</v>
      </c>
      <c r="H6" s="1"/>
      <c r="I6" s="1"/>
      <c r="J6" s="1"/>
      <c r="K6" s="1"/>
      <c r="L6" s="1"/>
    </row>
    <row r="7" customFormat="false" ht="21.75" hidden="false" customHeight="true" outlineLevel="0" collapsed="false">
      <c r="A7" s="1"/>
      <c r="B7" s="22" t="s">
        <v>43</v>
      </c>
      <c r="C7" s="23" t="s">
        <v>44</v>
      </c>
      <c r="D7" s="1"/>
      <c r="E7" s="24" t="s">
        <v>45</v>
      </c>
      <c r="F7" s="1"/>
      <c r="G7" s="24" t="s">
        <v>46</v>
      </c>
      <c r="H7" s="1"/>
      <c r="I7" s="1"/>
      <c r="J7" s="1"/>
      <c r="K7" s="1"/>
      <c r="L7" s="1"/>
    </row>
    <row r="8" customFormat="false" ht="21.75" hidden="false" customHeight="true" outlineLevel="0" collapsed="false">
      <c r="A8" s="1"/>
      <c r="B8" s="22" t="s">
        <v>47</v>
      </c>
      <c r="C8" s="25" t="n">
        <v>15</v>
      </c>
      <c r="D8" s="1"/>
      <c r="E8" s="24" t="s">
        <v>48</v>
      </c>
      <c r="F8" s="1"/>
      <c r="G8" s="24" t="s">
        <v>49</v>
      </c>
      <c r="H8" s="1"/>
      <c r="I8" s="1"/>
      <c r="J8" s="1"/>
      <c r="K8" s="1"/>
      <c r="L8" s="1"/>
    </row>
    <row r="9" customFormat="false" ht="21.75" hidden="false" customHeight="true" outlineLevel="0" collapsed="false">
      <c r="A9" s="1"/>
      <c r="B9" s="22" t="s">
        <v>50</v>
      </c>
      <c r="C9" s="26" t="n">
        <f aca="true">TODAY()</f>
        <v>46311</v>
      </c>
      <c r="D9" s="1"/>
      <c r="E9" s="24" t="s">
        <v>51</v>
      </c>
      <c r="F9" s="1"/>
      <c r="G9" s="24" t="s">
        <v>52</v>
      </c>
      <c r="H9" s="1"/>
      <c r="I9" s="1"/>
      <c r="J9" s="1"/>
      <c r="K9" s="1"/>
      <c r="L9" s="1"/>
    </row>
    <row r="10" customFormat="false" ht="21.75" hidden="false" customHeight="true" outlineLevel="0" collapsed="false">
      <c r="A10" s="1"/>
      <c r="B10" s="22" t="s">
        <v>53</v>
      </c>
      <c r="C10" s="27" t="n">
        <f aca="false">C9-30</f>
        <v>46281</v>
      </c>
      <c r="D10" s="1"/>
      <c r="E10" s="24" t="s">
        <v>54</v>
      </c>
      <c r="F10" s="1"/>
      <c r="G10" s="24" t="s">
        <v>55</v>
      </c>
      <c r="H10" s="1"/>
      <c r="I10" s="1"/>
      <c r="J10" s="1"/>
      <c r="K10" s="1"/>
      <c r="L10" s="1"/>
    </row>
    <row r="11" customFormat="false" ht="21.75" hidden="false" customHeight="true" outlineLevel="0" collapsed="false">
      <c r="A11" s="1"/>
      <c r="B11" s="22" t="s">
        <v>56</v>
      </c>
      <c r="C11" s="27" t="n">
        <f aca="false">C9</f>
        <v>46311</v>
      </c>
      <c r="D11" s="1"/>
      <c r="E11" s="24" t="s">
        <v>57</v>
      </c>
      <c r="F11" s="1"/>
      <c r="G11" s="24" t="s">
        <v>58</v>
      </c>
      <c r="H11" s="1"/>
      <c r="I11" s="1"/>
      <c r="J11" s="1"/>
      <c r="K11" s="1"/>
      <c r="L11" s="1"/>
    </row>
    <row r="12" customFormat="false" ht="21.75" hidden="false" customHeight="true" outlineLevel="0" collapsed="false">
      <c r="A12" s="1"/>
      <c r="B12" s="22" t="s">
        <v>59</v>
      </c>
      <c r="C12" s="23" t="n">
        <v>3</v>
      </c>
      <c r="D12" s="1"/>
      <c r="E12" s="28" t="s">
        <v>60</v>
      </c>
      <c r="F12" s="1"/>
      <c r="G12" s="24" t="s">
        <v>61</v>
      </c>
      <c r="H12" s="1"/>
      <c r="I12" s="1"/>
      <c r="J12" s="1"/>
      <c r="K12" s="1"/>
      <c r="L12" s="1"/>
    </row>
    <row r="13" customFormat="false" ht="21.75" hidden="false" customHeight="true" outlineLevel="0" collapsed="false">
      <c r="A13" s="1"/>
      <c r="B13" s="29" t="s">
        <v>62</v>
      </c>
      <c r="C13" s="1"/>
      <c r="D13" s="1"/>
      <c r="E13" s="1"/>
      <c r="F13" s="1"/>
      <c r="G13" s="1"/>
      <c r="H13" s="1"/>
      <c r="I13" s="1"/>
      <c r="J13" s="1"/>
      <c r="K13" s="1"/>
      <c r="L13" s="1"/>
    </row>
    <row r="14" customFormat="false" ht="21.75" hidden="false" customHeight="true" outlineLevel="0" collapsed="false">
      <c r="A14" s="1"/>
      <c r="B14" s="1"/>
      <c r="C14" s="1"/>
      <c r="D14" s="1"/>
      <c r="E14" s="29" t="s">
        <v>63</v>
      </c>
      <c r="F14" s="1"/>
      <c r="G14" s="1"/>
      <c r="H14" s="1"/>
      <c r="I14" s="1"/>
      <c r="J14" s="1"/>
      <c r="K14" s="1"/>
      <c r="L14" s="1"/>
    </row>
    <row r="15" customFormat="false" ht="21.75" hidden="false" customHeight="true" outlineLevel="0" collapsed="false">
      <c r="A15" s="1"/>
      <c r="B15" s="1"/>
      <c r="C15" s="1"/>
      <c r="D15" s="1"/>
      <c r="E15" s="1"/>
      <c r="F15" s="1"/>
      <c r="G15" s="1"/>
      <c r="H15" s="1"/>
      <c r="I15" s="1"/>
      <c r="J15" s="1"/>
      <c r="K15" s="1"/>
      <c r="L15" s="1"/>
    </row>
    <row r="16" customFormat="false" ht="21.75" hidden="false" customHeight="true" outlineLevel="0" collapsed="false">
      <c r="A16" s="1"/>
      <c r="B16" s="1"/>
      <c r="C16" s="1"/>
      <c r="D16" s="1"/>
      <c r="E16" s="1"/>
      <c r="F16" s="1"/>
      <c r="G16" s="1"/>
      <c r="H16" s="1"/>
      <c r="I16" s="1"/>
      <c r="J16" s="1"/>
      <c r="K16" s="1"/>
      <c r="L16" s="1"/>
    </row>
    <row r="17" customFormat="false" ht="21.75" hidden="false" customHeight="true" outlineLevel="0" collapsed="false">
      <c r="A17" s="1"/>
      <c r="B17" s="1"/>
      <c r="C17" s="1"/>
      <c r="D17" s="1"/>
      <c r="E17" s="1"/>
      <c r="F17" s="1"/>
      <c r="G17" s="1"/>
      <c r="H17" s="1"/>
      <c r="I17" s="1"/>
      <c r="J17" s="1"/>
      <c r="K17" s="1"/>
      <c r="L17" s="1"/>
    </row>
    <row r="18" customFormat="false" ht="21.75" hidden="false" customHeight="true" outlineLevel="0" collapsed="false">
      <c r="A18" s="1"/>
      <c r="B18" s="1"/>
      <c r="C18" s="1"/>
      <c r="D18" s="1"/>
      <c r="E18" s="1"/>
      <c r="F18" s="1"/>
      <c r="G18" s="1"/>
      <c r="H18" s="1"/>
      <c r="I18" s="1"/>
      <c r="J18" s="1"/>
      <c r="K18" s="1"/>
      <c r="L18" s="1"/>
    </row>
    <row r="19" customFormat="false" ht="21.75" hidden="false" customHeight="true" outlineLevel="0" collapsed="false">
      <c r="A19" s="1"/>
      <c r="B19" s="1"/>
      <c r="C19" s="1"/>
      <c r="D19" s="1"/>
      <c r="E19" s="1"/>
      <c r="F19" s="1"/>
      <c r="G19" s="1"/>
      <c r="H19" s="1"/>
      <c r="I19" s="1"/>
      <c r="J19" s="1"/>
      <c r="K19" s="1"/>
      <c r="L19" s="1"/>
    </row>
    <row r="20" customFormat="false" ht="21.75" hidden="false" customHeight="true" outlineLevel="0" collapsed="false">
      <c r="A20" s="1"/>
      <c r="B20" s="1"/>
      <c r="C20" s="1"/>
      <c r="D20" s="1"/>
      <c r="E20" s="1"/>
      <c r="F20" s="1"/>
      <c r="G20" s="1"/>
      <c r="H20" s="1"/>
      <c r="I20" s="1"/>
      <c r="J20" s="1"/>
      <c r="K20" s="1"/>
      <c r="L20" s="1"/>
    </row>
    <row r="21" customFormat="false" ht="21.75" hidden="false" customHeight="true" outlineLevel="0" collapsed="false">
      <c r="A21" s="1"/>
      <c r="B21" s="1"/>
      <c r="C21" s="1"/>
      <c r="D21" s="1"/>
      <c r="E21" s="1"/>
      <c r="F21" s="1"/>
      <c r="G21" s="1"/>
      <c r="H21" s="1"/>
      <c r="I21" s="1"/>
      <c r="J21" s="1"/>
      <c r="K21" s="1"/>
      <c r="L21" s="1"/>
    </row>
    <row r="22" customFormat="false" ht="21.75" hidden="false" customHeight="true" outlineLevel="0" collapsed="false">
      <c r="A22" s="1"/>
      <c r="B22" s="1"/>
      <c r="C22" s="1"/>
      <c r="D22" s="1"/>
      <c r="E22" s="1"/>
      <c r="F22" s="1"/>
      <c r="G22" s="1"/>
      <c r="H22" s="1"/>
      <c r="I22" s="1"/>
      <c r="J22" s="1"/>
      <c r="K22" s="1"/>
      <c r="L22" s="1"/>
    </row>
    <row r="23" customFormat="false" ht="21.75" hidden="false" customHeight="true" outlineLevel="0" collapsed="false">
      <c r="A23" s="1"/>
      <c r="B23" s="1"/>
      <c r="C23" s="1"/>
      <c r="D23" s="1"/>
      <c r="E23" s="1"/>
      <c r="F23" s="1"/>
      <c r="G23" s="1"/>
      <c r="H23" s="1"/>
      <c r="I23" s="1"/>
      <c r="J23" s="1"/>
      <c r="K23" s="1"/>
      <c r="L23" s="1"/>
    </row>
    <row r="24" customFormat="false" ht="21.75" hidden="false" customHeight="true" outlineLevel="0" collapsed="false">
      <c r="A24" s="1"/>
      <c r="B24" s="1"/>
      <c r="C24" s="1"/>
      <c r="D24" s="1"/>
      <c r="E24" s="1"/>
      <c r="F24" s="1"/>
      <c r="G24" s="1"/>
      <c r="H24" s="1"/>
      <c r="I24" s="1"/>
      <c r="J24" s="1"/>
      <c r="K24" s="1"/>
      <c r="L24" s="1"/>
    </row>
    <row r="25" customFormat="false" ht="21.75" hidden="false" customHeight="true" outlineLevel="0" collapsed="false">
      <c r="A25" s="1"/>
      <c r="B25" s="1"/>
      <c r="C25" s="1"/>
      <c r="D25" s="1"/>
      <c r="E25" s="1"/>
      <c r="F25" s="1"/>
      <c r="G25" s="1"/>
      <c r="H25" s="1"/>
      <c r="I25" s="1"/>
      <c r="J25" s="1"/>
      <c r="K25" s="1"/>
      <c r="L25" s="1"/>
    </row>
    <row r="26" customFormat="false" ht="21.75" hidden="false" customHeight="true" outlineLevel="0" collapsed="false">
      <c r="A26" s="1"/>
      <c r="B26" s="1"/>
      <c r="C26" s="1"/>
      <c r="D26" s="1"/>
      <c r="E26" s="1"/>
      <c r="F26" s="1"/>
      <c r="G26" s="1"/>
      <c r="H26" s="1"/>
      <c r="I26" s="1"/>
      <c r="J26" s="1"/>
      <c r="K26" s="1"/>
      <c r="L26" s="1"/>
    </row>
    <row r="27" customFormat="false" ht="21.75" hidden="false" customHeight="true" outlineLevel="0" collapsed="false">
      <c r="A27" s="1"/>
      <c r="B27" s="1"/>
      <c r="C27" s="1"/>
      <c r="D27" s="1"/>
      <c r="E27" s="1"/>
      <c r="F27" s="1"/>
      <c r="G27" s="1"/>
      <c r="H27" s="1"/>
      <c r="I27" s="1"/>
      <c r="J27" s="1"/>
      <c r="K27" s="1"/>
      <c r="L27" s="1"/>
    </row>
    <row r="28" customFormat="false" ht="21.75" hidden="false" customHeight="true" outlineLevel="0" collapsed="false">
      <c r="A28" s="1"/>
      <c r="B28" s="1"/>
      <c r="C28" s="1"/>
      <c r="D28" s="1"/>
      <c r="E28" s="1"/>
      <c r="F28" s="1"/>
      <c r="G28" s="1"/>
      <c r="H28" s="1"/>
      <c r="I28" s="1"/>
      <c r="J28" s="1"/>
      <c r="K28" s="1"/>
      <c r="L28" s="1"/>
    </row>
    <row r="29" customFormat="false" ht="21.75" hidden="false" customHeight="true" outlineLevel="0" collapsed="false">
      <c r="A29" s="1"/>
      <c r="B29" s="1"/>
      <c r="C29" s="1"/>
      <c r="D29" s="1"/>
      <c r="E29" s="1"/>
      <c r="F29" s="1"/>
      <c r="G29" s="1"/>
      <c r="H29" s="1"/>
      <c r="I29" s="1"/>
      <c r="J29" s="1"/>
      <c r="K29" s="1"/>
      <c r="L29" s="1"/>
    </row>
    <row r="30" customFormat="false" ht="21.75" hidden="false" customHeight="true" outlineLevel="0" collapsed="false">
      <c r="A30" s="1"/>
      <c r="B30" s="1"/>
      <c r="C30" s="1"/>
      <c r="D30" s="1"/>
      <c r="E30" s="1"/>
      <c r="F30" s="1"/>
      <c r="G30" s="1"/>
      <c r="H30" s="1"/>
      <c r="I30" s="1"/>
      <c r="J30" s="1"/>
      <c r="K30" s="1"/>
      <c r="L30" s="1"/>
    </row>
  </sheetData>
  <sheetProtection sheet="true" formatColumns="false" formatRows="false" sort="false" autoFilter="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
    <col collapsed="false" customWidth="true" hidden="false" outlineLevel="0" max="3" min="3" style="0" width="22"/>
    <col collapsed="false" customWidth="true" hidden="false" outlineLevel="0" max="4" min="4" style="0" width="13"/>
    <col collapsed="false" customWidth="true" hidden="false" outlineLevel="0" max="5" min="5" style="0" width="11"/>
    <col collapsed="false" customWidth="true" hidden="false" outlineLevel="0" max="9" min="6" style="0" width="10"/>
    <col collapsed="false" customWidth="true" hidden="false" outlineLevel="0" max="10" min="10" style="0" width="11"/>
    <col collapsed="false" customWidth="true" hidden="false" outlineLevel="0" max="11" min="11" style="0" width="9"/>
    <col collapsed="false" customWidth="true" hidden="false" outlineLevel="0" max="16" min="12" style="0" width="10"/>
    <col collapsed="false" customWidth="true" hidden="false" outlineLevel="0" max="17" min="17" style="0" width="13"/>
    <col collapsed="false" customWidth="true" hidden="false" outlineLevel="0" max="18" min="18" style="0" width="12"/>
  </cols>
  <sheetData>
    <row r="1" customFormat="false" ht="21.75" hidden="false" customHeight="true" outlineLevel="0" collapsed="false">
      <c r="A1" s="1"/>
      <c r="B1" s="1"/>
      <c r="C1" s="1"/>
      <c r="D1" s="1"/>
      <c r="E1" s="1"/>
      <c r="F1" s="1"/>
      <c r="G1" s="1"/>
      <c r="H1" s="1"/>
      <c r="I1" s="1"/>
      <c r="J1" s="1"/>
      <c r="K1" s="1"/>
      <c r="L1" s="1"/>
      <c r="M1" s="1"/>
      <c r="N1" s="1"/>
      <c r="O1" s="1"/>
      <c r="P1" s="1"/>
      <c r="Q1" s="1"/>
      <c r="R1" s="1"/>
      <c r="S1" s="1"/>
    </row>
    <row r="2" customFormat="false" ht="21.75" hidden="false" customHeight="true" outlineLevel="0" collapsed="false">
      <c r="A2" s="1"/>
      <c r="B2" s="2" t="s">
        <v>64</v>
      </c>
      <c r="C2" s="1"/>
      <c r="D2" s="1"/>
      <c r="E2" s="1"/>
      <c r="F2" s="1"/>
      <c r="G2" s="1"/>
      <c r="H2" s="1"/>
      <c r="I2" s="1"/>
      <c r="J2" s="1"/>
      <c r="K2" s="1"/>
      <c r="L2" s="1"/>
      <c r="M2" s="1"/>
      <c r="N2" s="1"/>
      <c r="O2" s="1"/>
      <c r="P2" s="1"/>
      <c r="Q2" s="1"/>
      <c r="R2" s="1"/>
      <c r="S2" s="1"/>
    </row>
    <row r="3" customFormat="false" ht="39.75" hidden="false" customHeight="true" outlineLevel="0" collapsed="false">
      <c r="A3" s="1"/>
      <c r="B3" s="3" t="s">
        <v>65</v>
      </c>
      <c r="C3" s="1"/>
      <c r="D3" s="1"/>
      <c r="E3" s="1"/>
      <c r="F3" s="1"/>
      <c r="G3" s="1"/>
      <c r="H3" s="1"/>
      <c r="I3" s="1"/>
      <c r="J3" s="1"/>
      <c r="K3" s="1"/>
      <c r="L3" s="1"/>
      <c r="M3" s="1"/>
      <c r="N3" s="1"/>
      <c r="O3" s="1"/>
      <c r="P3" s="1"/>
      <c r="Q3" s="1"/>
      <c r="R3" s="1"/>
      <c r="S3" s="1"/>
    </row>
    <row r="4" customFormat="false" ht="21.75" hidden="false" customHeight="true" outlineLevel="0" collapsed="false">
      <c r="A4" s="1"/>
      <c r="B4" s="4" t="s">
        <v>66</v>
      </c>
      <c r="C4" s="1"/>
      <c r="D4" s="1"/>
      <c r="E4" s="1"/>
      <c r="F4" s="1"/>
      <c r="G4" s="1"/>
      <c r="H4" s="1"/>
      <c r="I4" s="1"/>
      <c r="J4" s="1"/>
      <c r="K4" s="1"/>
      <c r="L4" s="1"/>
      <c r="M4" s="1"/>
      <c r="N4" s="1"/>
      <c r="O4" s="1"/>
      <c r="P4" s="1"/>
      <c r="Q4" s="1"/>
      <c r="R4" s="1"/>
      <c r="S4" s="1"/>
    </row>
    <row r="5" customFormat="false" ht="21.75" hidden="false" customHeight="true" outlineLevel="0" collapsed="false">
      <c r="A5" s="1"/>
      <c r="B5" s="1"/>
      <c r="C5" s="1"/>
      <c r="D5" s="1"/>
      <c r="E5" s="1"/>
      <c r="F5" s="1"/>
      <c r="G5" s="1"/>
      <c r="H5" s="1"/>
      <c r="I5" s="1"/>
      <c r="J5" s="1"/>
      <c r="K5" s="1"/>
      <c r="L5" s="1"/>
      <c r="M5" s="1"/>
      <c r="N5" s="1"/>
      <c r="O5" s="1"/>
      <c r="P5" s="1"/>
      <c r="Q5" s="1"/>
      <c r="R5" s="1"/>
      <c r="S5" s="1"/>
    </row>
    <row r="6" customFormat="false" ht="33.75" hidden="false" customHeight="true" outlineLevel="0" collapsed="false">
      <c r="A6" s="1"/>
      <c r="B6" s="30" t="s">
        <v>67</v>
      </c>
      <c r="C6" s="30" t="s">
        <v>68</v>
      </c>
      <c r="D6" s="30" t="s">
        <v>69</v>
      </c>
      <c r="E6" s="30" t="s">
        <v>70</v>
      </c>
      <c r="F6" s="30" t="s">
        <v>71</v>
      </c>
      <c r="G6" s="30" t="s">
        <v>72</v>
      </c>
      <c r="H6" s="30" t="s">
        <v>73</v>
      </c>
      <c r="I6" s="30" t="s">
        <v>74</v>
      </c>
      <c r="J6" s="30" t="s">
        <v>75</v>
      </c>
      <c r="K6" s="30" t="s">
        <v>76</v>
      </c>
      <c r="L6" s="30" t="s">
        <v>77</v>
      </c>
      <c r="M6" s="30" t="s">
        <v>78</v>
      </c>
      <c r="N6" s="30" t="s">
        <v>79</v>
      </c>
      <c r="O6" s="30" t="s">
        <v>80</v>
      </c>
      <c r="P6" s="30" t="s">
        <v>81</v>
      </c>
      <c r="Q6" s="30" t="s">
        <v>82</v>
      </c>
      <c r="R6" s="30" t="s">
        <v>83</v>
      </c>
      <c r="S6" s="1"/>
    </row>
    <row r="7" customFormat="false" ht="21.75" hidden="false" customHeight="true" outlineLevel="0" collapsed="false">
      <c r="A7" s="1"/>
      <c r="B7" s="31" t="s">
        <v>84</v>
      </c>
      <c r="C7" s="31" t="s">
        <v>85</v>
      </c>
      <c r="D7" s="31" t="s">
        <v>86</v>
      </c>
      <c r="E7" s="32" t="n">
        <v>6</v>
      </c>
      <c r="F7" s="31" t="n">
        <v>20</v>
      </c>
      <c r="G7" s="32" t="n">
        <v>38</v>
      </c>
      <c r="H7" s="31" t="n">
        <v>14</v>
      </c>
      <c r="I7" s="31" t="n">
        <v>8</v>
      </c>
      <c r="J7" s="33" t="n">
        <f aca="false">IF(B7="","",E7+F7/60*Settings!$C$8)</f>
        <v>11</v>
      </c>
      <c r="K7" s="34" t="n">
        <f aca="false">IF(OR(B7="",G7=0),"",(G7-J7)/G7)</f>
        <v>0.710526315789474</v>
      </c>
      <c r="L7" s="35" t="n">
        <f aca="false">IF(B7="","",SUMIFS(Production!$E$7:$E$204,Production!$C$7:$C$204,B7,Production!$G$7:$G$204,"Done"))</f>
        <v>12</v>
      </c>
      <c r="M7" s="35" t="n">
        <f aca="false">IF(B7="","",SUMIFS(Sales!$E$7:$E$504,Sales!$C$7:$C$504,B7))</f>
        <v>9</v>
      </c>
      <c r="N7" s="35" t="n">
        <f aca="false">IF(B7="","",H7+L7-M7)</f>
        <v>17</v>
      </c>
      <c r="O7" s="35" t="n">
        <f aca="false">IF(B7="","",SUMIFS(Sales!$E$7:$E$504,Sales!$C$7:$C$504,B7,Sales!$B$7:$B$504,"&gt;="&amp;Settings!$C$10,Sales!$B$7:$B$504,"&lt;="&amp;Settings!$C$11))</f>
        <v>6</v>
      </c>
      <c r="P7" s="36" t="n">
        <f aca="false">IF(OR(B7="",O7=0),"",MAX(N7,0)/(O7/MAX(1,Settings!$C$11-Settings!$C$10)))</f>
        <v>85</v>
      </c>
      <c r="Q7" s="37" t="str">
        <f aca="false">IF(B7="","",IF(N7&lt;=0,"Out of stock",IF(N7&lt;=I7,"Restock","OK")))</f>
        <v>OK</v>
      </c>
      <c r="R7" s="33" t="n">
        <f aca="false">IF(B7="","",MAX(N7,0)*J7)</f>
        <v>187</v>
      </c>
      <c r="S7" s="1"/>
    </row>
    <row r="8" customFormat="false" ht="21.75" hidden="false" customHeight="true" outlineLevel="0" collapsed="false">
      <c r="A8" s="1"/>
      <c r="B8" s="31" t="s">
        <v>87</v>
      </c>
      <c r="C8" s="31" t="s">
        <v>88</v>
      </c>
      <c r="D8" s="31" t="s">
        <v>86</v>
      </c>
      <c r="E8" s="32" t="n">
        <v>6</v>
      </c>
      <c r="F8" s="31" t="n">
        <v>20</v>
      </c>
      <c r="G8" s="32" t="n">
        <v>38</v>
      </c>
      <c r="H8" s="31" t="n">
        <v>10</v>
      </c>
      <c r="I8" s="31" t="n">
        <v>8</v>
      </c>
      <c r="J8" s="33" t="n">
        <f aca="false">IF(B8="","",E8+F8/60*Settings!$C$8)</f>
        <v>11</v>
      </c>
      <c r="K8" s="34" t="n">
        <f aca="false">IF(OR(B8="",G8=0),"",(G8-J8)/G8)</f>
        <v>0.710526315789474</v>
      </c>
      <c r="L8" s="35" t="n">
        <f aca="false">IF(B8="","",SUMIFS(Production!$E$7:$E$204,Production!$C$7:$C$204,B8,Production!$G$7:$G$204,"Done"))</f>
        <v>0</v>
      </c>
      <c r="M8" s="35" t="n">
        <f aca="false">IF(B8="","",SUMIFS(Sales!$E$7:$E$504,Sales!$C$7:$C$504,B8))</f>
        <v>9</v>
      </c>
      <c r="N8" s="35" t="n">
        <f aca="false">IF(B8="","",H8+L8-M8)</f>
        <v>1</v>
      </c>
      <c r="O8" s="35" t="n">
        <f aca="false">IF(B8="","",SUMIFS(Sales!$E$7:$E$504,Sales!$C$7:$C$504,B8,Sales!$B$7:$B$504,"&gt;="&amp;Settings!$C$10,Sales!$B$7:$B$504,"&lt;="&amp;Settings!$C$11))</f>
        <v>6</v>
      </c>
      <c r="P8" s="36" t="n">
        <f aca="false">IF(OR(B8="",O8=0),"",MAX(N8,0)/(O8/MAX(1,Settings!$C$11-Settings!$C$10)))</f>
        <v>5</v>
      </c>
      <c r="Q8" s="37" t="str">
        <f aca="false">IF(B8="","",IF(N8&lt;=0,"Out of stock",IF(N8&lt;=I8,"Restock","OK")))</f>
        <v>Restock</v>
      </c>
      <c r="R8" s="33" t="n">
        <f aca="false">IF(B8="","",MAX(N8,0)*J8)</f>
        <v>11</v>
      </c>
      <c r="S8" s="1"/>
    </row>
    <row r="9" customFormat="false" ht="21.75" hidden="false" customHeight="true" outlineLevel="0" collapsed="false">
      <c r="A9" s="1"/>
      <c r="B9" s="31" t="s">
        <v>89</v>
      </c>
      <c r="C9" s="31" t="s">
        <v>90</v>
      </c>
      <c r="D9" s="31" t="s">
        <v>91</v>
      </c>
      <c r="E9" s="32" t="n">
        <v>9</v>
      </c>
      <c r="F9" s="31" t="n">
        <v>45</v>
      </c>
      <c r="G9" s="32" t="n">
        <v>55</v>
      </c>
      <c r="H9" s="31" t="n">
        <v>10</v>
      </c>
      <c r="I9" s="31" t="n">
        <v>4</v>
      </c>
      <c r="J9" s="33" t="n">
        <f aca="false">IF(B9="","",E9+F9/60*Settings!$C$8)</f>
        <v>20.25</v>
      </c>
      <c r="K9" s="34" t="n">
        <f aca="false">IF(OR(B9="",G9=0),"",(G9-J9)/G9)</f>
        <v>0.631818181818182</v>
      </c>
      <c r="L9" s="35" t="n">
        <f aca="false">IF(B9="","",SUMIFS(Production!$E$7:$E$204,Production!$C$7:$C$204,B9,Production!$G$7:$G$204,"Done"))</f>
        <v>0</v>
      </c>
      <c r="M9" s="35" t="n">
        <f aca="false">IF(B9="","",SUMIFS(Sales!$E$7:$E$504,Sales!$C$7:$C$504,B9))</f>
        <v>4</v>
      </c>
      <c r="N9" s="35" t="n">
        <f aca="false">IF(B9="","",H9+L9-M9)</f>
        <v>6</v>
      </c>
      <c r="O9" s="35" t="n">
        <f aca="false">IF(B9="","",SUMIFS(Sales!$E$7:$E$504,Sales!$C$7:$C$504,B9,Sales!$B$7:$B$504,"&gt;="&amp;Settings!$C$10,Sales!$B$7:$B$504,"&lt;="&amp;Settings!$C$11))</f>
        <v>3</v>
      </c>
      <c r="P9" s="36" t="n">
        <f aca="false">IF(OR(B9="",O9=0),"",MAX(N9,0)/(O9/MAX(1,Settings!$C$11-Settings!$C$10)))</f>
        <v>60</v>
      </c>
      <c r="Q9" s="37" t="str">
        <f aca="false">IF(B9="","",IF(N9&lt;=0,"Out of stock",IF(N9&lt;=I9,"Restock","OK")))</f>
        <v>OK</v>
      </c>
      <c r="R9" s="33" t="n">
        <f aca="false">IF(B9="","",MAX(N9,0)*J9)</f>
        <v>121.5</v>
      </c>
      <c r="S9" s="1"/>
    </row>
    <row r="10" customFormat="false" ht="21.75" hidden="false" customHeight="true" outlineLevel="0" collapsed="false">
      <c r="A10" s="1"/>
      <c r="B10" s="31" t="s">
        <v>92</v>
      </c>
      <c r="C10" s="31" t="s">
        <v>93</v>
      </c>
      <c r="D10" s="31" t="s">
        <v>91</v>
      </c>
      <c r="E10" s="32" t="n">
        <v>14</v>
      </c>
      <c r="F10" s="31" t="n">
        <v>70</v>
      </c>
      <c r="G10" s="32" t="n">
        <v>95</v>
      </c>
      <c r="H10" s="31" t="n">
        <v>3</v>
      </c>
      <c r="I10" s="31" t="n">
        <v>2</v>
      </c>
      <c r="J10" s="33" t="n">
        <f aca="false">IF(B10="","",E10+F10/60*Settings!$C$8)</f>
        <v>31.5</v>
      </c>
      <c r="K10" s="34" t="n">
        <f aca="false">IF(OR(B10="",G10=0),"",(G10-J10)/G10)</f>
        <v>0.668421052631579</v>
      </c>
      <c r="L10" s="35" t="n">
        <f aca="false">IF(B10="","",SUMIFS(Production!$E$7:$E$204,Production!$C$7:$C$204,B10,Production!$G$7:$G$204,"Done"))</f>
        <v>0</v>
      </c>
      <c r="M10" s="35" t="n">
        <f aca="false">IF(B10="","",SUMIFS(Sales!$E$7:$E$504,Sales!$C$7:$C$504,B10))</f>
        <v>1</v>
      </c>
      <c r="N10" s="35" t="n">
        <f aca="false">IF(B10="","",H10+L10-M10)</f>
        <v>2</v>
      </c>
      <c r="O10" s="35" t="n">
        <f aca="false">IF(B10="","",SUMIFS(Sales!$E$7:$E$504,Sales!$C$7:$C$504,B10,Sales!$B$7:$B$504,"&gt;="&amp;Settings!$C$10,Sales!$B$7:$B$504,"&lt;="&amp;Settings!$C$11))</f>
        <v>1</v>
      </c>
      <c r="P10" s="36" t="n">
        <f aca="false">IF(OR(B10="",O10=0),"",MAX(N10,0)/(O10/MAX(1,Settings!$C$11-Settings!$C$10)))</f>
        <v>60</v>
      </c>
      <c r="Q10" s="37" t="str">
        <f aca="false">IF(B10="","",IF(N10&lt;=0,"Out of stock",IF(N10&lt;=I10,"Restock","OK")))</f>
        <v>Restock</v>
      </c>
      <c r="R10" s="33" t="n">
        <f aca="false">IF(B10="","",MAX(N10,0)*J10)</f>
        <v>63</v>
      </c>
      <c r="S10" s="1"/>
    </row>
    <row r="11" customFormat="false" ht="21.75" hidden="false" customHeight="true" outlineLevel="0" collapsed="false">
      <c r="A11" s="1"/>
      <c r="B11" s="31" t="s">
        <v>94</v>
      </c>
      <c r="C11" s="31" t="s">
        <v>95</v>
      </c>
      <c r="D11" s="31" t="s">
        <v>96</v>
      </c>
      <c r="E11" s="32" t="n">
        <v>11</v>
      </c>
      <c r="F11" s="31" t="n">
        <v>30</v>
      </c>
      <c r="G11" s="32" t="n">
        <v>45</v>
      </c>
      <c r="H11" s="31" t="n">
        <v>25</v>
      </c>
      <c r="I11" s="31" t="n">
        <v>6</v>
      </c>
      <c r="J11" s="33" t="n">
        <f aca="false">IF(B11="","",E11+F11/60*Settings!$C$8)</f>
        <v>18.5</v>
      </c>
      <c r="K11" s="34" t="n">
        <f aca="false">IF(OR(B11="",G11=0),"",(G11-J11)/G11)</f>
        <v>0.588888888888889</v>
      </c>
      <c r="L11" s="35" t="n">
        <f aca="false">IF(B11="","",SUMIFS(Production!$E$7:$E$204,Production!$C$7:$C$204,B11,Production!$G$7:$G$204,"Done"))</f>
        <v>0</v>
      </c>
      <c r="M11" s="35" t="n">
        <f aca="false">IF(B11="","",SUMIFS(Sales!$E$7:$E$504,Sales!$C$7:$C$504,B11))</f>
        <v>6</v>
      </c>
      <c r="N11" s="35" t="n">
        <f aca="false">IF(B11="","",H11+L11-M11)</f>
        <v>19</v>
      </c>
      <c r="O11" s="35" t="n">
        <f aca="false">IF(B11="","",SUMIFS(Sales!$E$7:$E$504,Sales!$C$7:$C$504,B11,Sales!$B$7:$B$504,"&gt;="&amp;Settings!$C$10,Sales!$B$7:$B$504,"&lt;="&amp;Settings!$C$11))</f>
        <v>3</v>
      </c>
      <c r="P11" s="36" t="n">
        <f aca="false">IF(OR(B11="",O11=0),"",MAX(N11,0)/(O11/MAX(1,Settings!$C$11-Settings!$C$10)))</f>
        <v>190</v>
      </c>
      <c r="Q11" s="37" t="str">
        <f aca="false">IF(B11="","",IF(N11&lt;=0,"Out of stock",IF(N11&lt;=I11,"Restock","OK")))</f>
        <v>OK</v>
      </c>
      <c r="R11" s="33" t="n">
        <f aca="false">IF(B11="","",MAX(N11,0)*J11)</f>
        <v>351.5</v>
      </c>
      <c r="S11" s="1"/>
    </row>
    <row r="12" customFormat="false" ht="21.75" hidden="false" customHeight="true" outlineLevel="0" collapsed="false">
      <c r="A12" s="1"/>
      <c r="B12" s="31" t="s">
        <v>97</v>
      </c>
      <c r="C12" s="31" t="s">
        <v>98</v>
      </c>
      <c r="D12" s="31" t="s">
        <v>99</v>
      </c>
      <c r="E12" s="32" t="n">
        <v>4</v>
      </c>
      <c r="F12" s="31" t="n">
        <v>0</v>
      </c>
      <c r="G12" s="32" t="n">
        <v>30</v>
      </c>
      <c r="H12" s="31" t="n">
        <v>40</v>
      </c>
      <c r="I12" s="31" t="n">
        <v>10</v>
      </c>
      <c r="J12" s="33" t="n">
        <f aca="false">IF(B12="","",E12+F12/60*Settings!$C$8)</f>
        <v>4</v>
      </c>
      <c r="K12" s="34" t="n">
        <f aca="false">IF(OR(B12="",G12=0),"",(G12-J12)/G12)</f>
        <v>0.866666666666667</v>
      </c>
      <c r="L12" s="35" t="n">
        <f aca="false">IF(B12="","",SUMIFS(Production!$E$7:$E$204,Production!$C$7:$C$204,B12,Production!$G$7:$G$204,"Done"))</f>
        <v>20</v>
      </c>
      <c r="M12" s="35" t="n">
        <f aca="false">IF(B12="","",SUMIFS(Sales!$E$7:$E$504,Sales!$C$7:$C$504,B12))</f>
        <v>11</v>
      </c>
      <c r="N12" s="35" t="n">
        <f aca="false">IF(B12="","",H12+L12-M12)</f>
        <v>49</v>
      </c>
      <c r="O12" s="35" t="n">
        <f aca="false">IF(B12="","",SUMIFS(Sales!$E$7:$E$504,Sales!$C$7:$C$504,B12,Sales!$B$7:$B$504,"&gt;="&amp;Settings!$C$10,Sales!$B$7:$B$504,"&lt;="&amp;Settings!$C$11))</f>
        <v>5</v>
      </c>
      <c r="P12" s="36" t="n">
        <f aca="false">IF(OR(B12="",O12=0),"",MAX(N12,0)/(O12/MAX(1,Settings!$C$11-Settings!$C$10)))</f>
        <v>294</v>
      </c>
      <c r="Q12" s="37" t="str">
        <f aca="false">IF(B12="","",IF(N12&lt;=0,"Out of stock",IF(N12&lt;=I12,"Restock","OK")))</f>
        <v>OK</v>
      </c>
      <c r="R12" s="33" t="n">
        <f aca="false">IF(B12="","",MAX(N12,0)*J12)</f>
        <v>196</v>
      </c>
      <c r="S12" s="1"/>
    </row>
    <row r="13" customFormat="false" ht="21.75" hidden="false" customHeight="true" outlineLevel="0" collapsed="false">
      <c r="A13" s="1"/>
      <c r="B13" s="31"/>
      <c r="C13" s="31"/>
      <c r="D13" s="31"/>
      <c r="E13" s="32"/>
      <c r="F13" s="31"/>
      <c r="G13" s="32"/>
      <c r="H13" s="31"/>
      <c r="I13" s="31"/>
      <c r="J13" s="33" t="str">
        <f aca="false">IF(B13="","",E13+F13/60*Settings!$C$8)</f>
        <v/>
      </c>
      <c r="K13" s="34" t="str">
        <f aca="false">IF(OR(B13="",G13=0),"",(G13-J13)/G13)</f>
        <v/>
      </c>
      <c r="L13" s="35" t="str">
        <f aca="false">IF(B13="","",SUMIFS(Production!$E$7:$E$204,Production!$C$7:$C$204,B13,Production!$G$7:$G$204,"Done"))</f>
        <v/>
      </c>
      <c r="M13" s="35" t="str">
        <f aca="false">IF(B13="","",SUMIFS(Sales!$E$7:$E$504,Sales!$C$7:$C$504,B13))</f>
        <v/>
      </c>
      <c r="N13" s="35" t="str">
        <f aca="false">IF(B13="","",H13+L13-M13)</f>
        <v/>
      </c>
      <c r="O13" s="35" t="str">
        <f aca="false">IF(B13="","",SUMIFS(Sales!$E$7:$E$504,Sales!$C$7:$C$504,B13,Sales!$B$7:$B$504,"&gt;="&amp;Settings!$C$10,Sales!$B$7:$B$504,"&lt;="&amp;Settings!$C$11))</f>
        <v/>
      </c>
      <c r="P13" s="36" t="str">
        <f aca="false">IF(OR(B13="",O13=0),"",MAX(N13,0)/(O13/MAX(1,Settings!$C$11-Settings!$C$10)))</f>
        <v/>
      </c>
      <c r="Q13" s="37" t="str">
        <f aca="false">IF(B13="","",IF(N13&lt;=0,"Out of stock",IF(N13&lt;=I13,"Restock","OK")))</f>
        <v/>
      </c>
      <c r="R13" s="33" t="str">
        <f aca="false">IF(B13="","",MAX(N13,0)*J13)</f>
        <v/>
      </c>
      <c r="S13" s="1"/>
    </row>
    <row r="14" customFormat="false" ht="21.75" hidden="false" customHeight="true" outlineLevel="0" collapsed="false">
      <c r="A14" s="1"/>
      <c r="B14" s="31"/>
      <c r="C14" s="31"/>
      <c r="D14" s="31"/>
      <c r="E14" s="32"/>
      <c r="F14" s="31"/>
      <c r="G14" s="32"/>
      <c r="H14" s="31"/>
      <c r="I14" s="31"/>
      <c r="J14" s="33" t="str">
        <f aca="false">IF(B14="","",E14+F14/60*Settings!$C$8)</f>
        <v/>
      </c>
      <c r="K14" s="34" t="str">
        <f aca="false">IF(OR(B14="",G14=0),"",(G14-J14)/G14)</f>
        <v/>
      </c>
      <c r="L14" s="35" t="str">
        <f aca="false">IF(B14="","",SUMIFS(Production!$E$7:$E$204,Production!$C$7:$C$204,B14,Production!$G$7:$G$204,"Done"))</f>
        <v/>
      </c>
      <c r="M14" s="35" t="str">
        <f aca="false">IF(B14="","",SUMIFS(Sales!$E$7:$E$504,Sales!$C$7:$C$504,B14))</f>
        <v/>
      </c>
      <c r="N14" s="35" t="str">
        <f aca="false">IF(B14="","",H14+L14-M14)</f>
        <v/>
      </c>
      <c r="O14" s="35" t="str">
        <f aca="false">IF(B14="","",SUMIFS(Sales!$E$7:$E$504,Sales!$C$7:$C$504,B14,Sales!$B$7:$B$504,"&gt;="&amp;Settings!$C$10,Sales!$B$7:$B$504,"&lt;="&amp;Settings!$C$11))</f>
        <v/>
      </c>
      <c r="P14" s="36" t="str">
        <f aca="false">IF(OR(B14="",O14=0),"",MAX(N14,0)/(O14/MAX(1,Settings!$C$11-Settings!$C$10)))</f>
        <v/>
      </c>
      <c r="Q14" s="37" t="str">
        <f aca="false">IF(B14="","",IF(N14&lt;=0,"Out of stock",IF(N14&lt;=I14,"Restock","OK")))</f>
        <v/>
      </c>
      <c r="R14" s="33" t="str">
        <f aca="false">IF(B14="","",MAX(N14,0)*J14)</f>
        <v/>
      </c>
      <c r="S14" s="1"/>
    </row>
    <row r="15" customFormat="false" ht="21.75" hidden="false" customHeight="true" outlineLevel="0" collapsed="false">
      <c r="A15" s="1"/>
      <c r="B15" s="31"/>
      <c r="C15" s="31"/>
      <c r="D15" s="31"/>
      <c r="E15" s="32"/>
      <c r="F15" s="31"/>
      <c r="G15" s="32"/>
      <c r="H15" s="31"/>
      <c r="I15" s="31"/>
      <c r="J15" s="33" t="str">
        <f aca="false">IF(B15="","",E15+F15/60*Settings!$C$8)</f>
        <v/>
      </c>
      <c r="K15" s="34" t="str">
        <f aca="false">IF(OR(B15="",G15=0),"",(G15-J15)/G15)</f>
        <v/>
      </c>
      <c r="L15" s="35" t="str">
        <f aca="false">IF(B15="","",SUMIFS(Production!$E$7:$E$204,Production!$C$7:$C$204,B15,Production!$G$7:$G$204,"Done"))</f>
        <v/>
      </c>
      <c r="M15" s="35" t="str">
        <f aca="false">IF(B15="","",SUMIFS(Sales!$E$7:$E$504,Sales!$C$7:$C$504,B15))</f>
        <v/>
      </c>
      <c r="N15" s="35" t="str">
        <f aca="false">IF(B15="","",H15+L15-M15)</f>
        <v/>
      </c>
      <c r="O15" s="35" t="str">
        <f aca="false">IF(B15="","",SUMIFS(Sales!$E$7:$E$504,Sales!$C$7:$C$504,B15,Sales!$B$7:$B$504,"&gt;="&amp;Settings!$C$10,Sales!$B$7:$B$504,"&lt;="&amp;Settings!$C$11))</f>
        <v/>
      </c>
      <c r="P15" s="36" t="str">
        <f aca="false">IF(OR(B15="",O15=0),"",MAX(N15,0)/(O15/MAX(1,Settings!$C$11-Settings!$C$10)))</f>
        <v/>
      </c>
      <c r="Q15" s="37" t="str">
        <f aca="false">IF(B15="","",IF(N15&lt;=0,"Out of stock",IF(N15&lt;=I15,"Restock","OK")))</f>
        <v/>
      </c>
      <c r="R15" s="33" t="str">
        <f aca="false">IF(B15="","",MAX(N15,0)*J15)</f>
        <v/>
      </c>
      <c r="S15" s="1"/>
    </row>
    <row r="16" customFormat="false" ht="21.75" hidden="false" customHeight="true" outlineLevel="0" collapsed="false">
      <c r="A16" s="1"/>
      <c r="B16" s="31"/>
      <c r="C16" s="31"/>
      <c r="D16" s="31"/>
      <c r="E16" s="32"/>
      <c r="F16" s="31"/>
      <c r="G16" s="32"/>
      <c r="H16" s="31"/>
      <c r="I16" s="31"/>
      <c r="J16" s="33" t="str">
        <f aca="false">IF(B16="","",E16+F16/60*Settings!$C$8)</f>
        <v/>
      </c>
      <c r="K16" s="34" t="str">
        <f aca="false">IF(OR(B16="",G16=0),"",(G16-J16)/G16)</f>
        <v/>
      </c>
      <c r="L16" s="35" t="str">
        <f aca="false">IF(B16="","",SUMIFS(Production!$E$7:$E$204,Production!$C$7:$C$204,B16,Production!$G$7:$G$204,"Done"))</f>
        <v/>
      </c>
      <c r="M16" s="35" t="str">
        <f aca="false">IF(B16="","",SUMIFS(Sales!$E$7:$E$504,Sales!$C$7:$C$504,B16))</f>
        <v/>
      </c>
      <c r="N16" s="35" t="str">
        <f aca="false">IF(B16="","",H16+L16-M16)</f>
        <v/>
      </c>
      <c r="O16" s="35" t="str">
        <f aca="false">IF(B16="","",SUMIFS(Sales!$E$7:$E$504,Sales!$C$7:$C$504,B16,Sales!$B$7:$B$504,"&gt;="&amp;Settings!$C$10,Sales!$B$7:$B$504,"&lt;="&amp;Settings!$C$11))</f>
        <v/>
      </c>
      <c r="P16" s="36" t="str">
        <f aca="false">IF(OR(B16="",O16=0),"",MAX(N16,0)/(O16/MAX(1,Settings!$C$11-Settings!$C$10)))</f>
        <v/>
      </c>
      <c r="Q16" s="37" t="str">
        <f aca="false">IF(B16="","",IF(N16&lt;=0,"Out of stock",IF(N16&lt;=I16,"Restock","OK")))</f>
        <v/>
      </c>
      <c r="R16" s="33" t="str">
        <f aca="false">IF(B16="","",MAX(N16,0)*J16)</f>
        <v/>
      </c>
      <c r="S16" s="1"/>
    </row>
    <row r="17" customFormat="false" ht="21.75" hidden="false" customHeight="true" outlineLevel="0" collapsed="false">
      <c r="A17" s="1"/>
      <c r="B17" s="31"/>
      <c r="C17" s="31"/>
      <c r="D17" s="31"/>
      <c r="E17" s="32"/>
      <c r="F17" s="31"/>
      <c r="G17" s="32"/>
      <c r="H17" s="31"/>
      <c r="I17" s="31"/>
      <c r="J17" s="33" t="str">
        <f aca="false">IF(B17="","",E17+F17/60*Settings!$C$8)</f>
        <v/>
      </c>
      <c r="K17" s="34" t="str">
        <f aca="false">IF(OR(B17="",G17=0),"",(G17-J17)/G17)</f>
        <v/>
      </c>
      <c r="L17" s="35" t="str">
        <f aca="false">IF(B17="","",SUMIFS(Production!$E$7:$E$204,Production!$C$7:$C$204,B17,Production!$G$7:$G$204,"Done"))</f>
        <v/>
      </c>
      <c r="M17" s="35" t="str">
        <f aca="false">IF(B17="","",SUMIFS(Sales!$E$7:$E$504,Sales!$C$7:$C$504,B17))</f>
        <v/>
      </c>
      <c r="N17" s="35" t="str">
        <f aca="false">IF(B17="","",H17+L17-M17)</f>
        <v/>
      </c>
      <c r="O17" s="35" t="str">
        <f aca="false">IF(B17="","",SUMIFS(Sales!$E$7:$E$504,Sales!$C$7:$C$504,B17,Sales!$B$7:$B$504,"&gt;="&amp;Settings!$C$10,Sales!$B$7:$B$504,"&lt;="&amp;Settings!$C$11))</f>
        <v/>
      </c>
      <c r="P17" s="36" t="str">
        <f aca="false">IF(OR(B17="",O17=0),"",MAX(N17,0)/(O17/MAX(1,Settings!$C$11-Settings!$C$10)))</f>
        <v/>
      </c>
      <c r="Q17" s="37" t="str">
        <f aca="false">IF(B17="","",IF(N17&lt;=0,"Out of stock",IF(N17&lt;=I17,"Restock","OK")))</f>
        <v/>
      </c>
      <c r="R17" s="33" t="str">
        <f aca="false">IF(B17="","",MAX(N17,0)*J17)</f>
        <v/>
      </c>
      <c r="S17" s="1"/>
    </row>
    <row r="18" customFormat="false" ht="21.75" hidden="false" customHeight="true" outlineLevel="0" collapsed="false">
      <c r="A18" s="1"/>
      <c r="B18" s="31"/>
      <c r="C18" s="31"/>
      <c r="D18" s="31"/>
      <c r="E18" s="32"/>
      <c r="F18" s="31"/>
      <c r="G18" s="32"/>
      <c r="H18" s="31"/>
      <c r="I18" s="31"/>
      <c r="J18" s="33" t="str">
        <f aca="false">IF(B18="","",E18+F18/60*Settings!$C$8)</f>
        <v/>
      </c>
      <c r="K18" s="34" t="str">
        <f aca="false">IF(OR(B18="",G18=0),"",(G18-J18)/G18)</f>
        <v/>
      </c>
      <c r="L18" s="35" t="str">
        <f aca="false">IF(B18="","",SUMIFS(Production!$E$7:$E$204,Production!$C$7:$C$204,B18,Production!$G$7:$G$204,"Done"))</f>
        <v/>
      </c>
      <c r="M18" s="35" t="str">
        <f aca="false">IF(B18="","",SUMIFS(Sales!$E$7:$E$504,Sales!$C$7:$C$504,B18))</f>
        <v/>
      </c>
      <c r="N18" s="35" t="str">
        <f aca="false">IF(B18="","",H18+L18-M18)</f>
        <v/>
      </c>
      <c r="O18" s="35" t="str">
        <f aca="false">IF(B18="","",SUMIFS(Sales!$E$7:$E$504,Sales!$C$7:$C$504,B18,Sales!$B$7:$B$504,"&gt;="&amp;Settings!$C$10,Sales!$B$7:$B$504,"&lt;="&amp;Settings!$C$11))</f>
        <v/>
      </c>
      <c r="P18" s="36" t="str">
        <f aca="false">IF(OR(B18="",O18=0),"",MAX(N18,0)/(O18/MAX(1,Settings!$C$11-Settings!$C$10)))</f>
        <v/>
      </c>
      <c r="Q18" s="37" t="str">
        <f aca="false">IF(B18="","",IF(N18&lt;=0,"Out of stock",IF(N18&lt;=I18,"Restock","OK")))</f>
        <v/>
      </c>
      <c r="R18" s="33" t="str">
        <f aca="false">IF(B18="","",MAX(N18,0)*J18)</f>
        <v/>
      </c>
      <c r="S18" s="1"/>
    </row>
    <row r="19" customFormat="false" ht="21.75" hidden="false" customHeight="true" outlineLevel="0" collapsed="false">
      <c r="A19" s="1"/>
      <c r="B19" s="31"/>
      <c r="C19" s="31"/>
      <c r="D19" s="31"/>
      <c r="E19" s="32"/>
      <c r="F19" s="31"/>
      <c r="G19" s="32"/>
      <c r="H19" s="31"/>
      <c r="I19" s="31"/>
      <c r="J19" s="33" t="str">
        <f aca="false">IF(B19="","",E19+F19/60*Settings!$C$8)</f>
        <v/>
      </c>
      <c r="K19" s="34" t="str">
        <f aca="false">IF(OR(B19="",G19=0),"",(G19-J19)/G19)</f>
        <v/>
      </c>
      <c r="L19" s="35" t="str">
        <f aca="false">IF(B19="","",SUMIFS(Production!$E$7:$E$204,Production!$C$7:$C$204,B19,Production!$G$7:$G$204,"Done"))</f>
        <v/>
      </c>
      <c r="M19" s="35" t="str">
        <f aca="false">IF(B19="","",SUMIFS(Sales!$E$7:$E$504,Sales!$C$7:$C$504,B19))</f>
        <v/>
      </c>
      <c r="N19" s="35" t="str">
        <f aca="false">IF(B19="","",H19+L19-M19)</f>
        <v/>
      </c>
      <c r="O19" s="35" t="str">
        <f aca="false">IF(B19="","",SUMIFS(Sales!$E$7:$E$504,Sales!$C$7:$C$504,B19,Sales!$B$7:$B$504,"&gt;="&amp;Settings!$C$10,Sales!$B$7:$B$504,"&lt;="&amp;Settings!$C$11))</f>
        <v/>
      </c>
      <c r="P19" s="36" t="str">
        <f aca="false">IF(OR(B19="",O19=0),"",MAX(N19,0)/(O19/MAX(1,Settings!$C$11-Settings!$C$10)))</f>
        <v/>
      </c>
      <c r="Q19" s="37" t="str">
        <f aca="false">IF(B19="","",IF(N19&lt;=0,"Out of stock",IF(N19&lt;=I19,"Restock","OK")))</f>
        <v/>
      </c>
      <c r="R19" s="33" t="str">
        <f aca="false">IF(B19="","",MAX(N19,0)*J19)</f>
        <v/>
      </c>
      <c r="S19" s="1"/>
    </row>
    <row r="20" customFormat="false" ht="21.75" hidden="false" customHeight="true" outlineLevel="0" collapsed="false">
      <c r="A20" s="1"/>
      <c r="B20" s="31"/>
      <c r="C20" s="31"/>
      <c r="D20" s="31"/>
      <c r="E20" s="32"/>
      <c r="F20" s="31"/>
      <c r="G20" s="32"/>
      <c r="H20" s="31"/>
      <c r="I20" s="31"/>
      <c r="J20" s="33" t="str">
        <f aca="false">IF(B20="","",E20+F20/60*Settings!$C$8)</f>
        <v/>
      </c>
      <c r="K20" s="34" t="str">
        <f aca="false">IF(OR(B20="",G20=0),"",(G20-J20)/G20)</f>
        <v/>
      </c>
      <c r="L20" s="35" t="str">
        <f aca="false">IF(B20="","",SUMIFS(Production!$E$7:$E$204,Production!$C$7:$C$204,B20,Production!$G$7:$G$204,"Done"))</f>
        <v/>
      </c>
      <c r="M20" s="35" t="str">
        <f aca="false">IF(B20="","",SUMIFS(Sales!$E$7:$E$504,Sales!$C$7:$C$504,B20))</f>
        <v/>
      </c>
      <c r="N20" s="35" t="str">
        <f aca="false">IF(B20="","",H20+L20-M20)</f>
        <v/>
      </c>
      <c r="O20" s="35" t="str">
        <f aca="false">IF(B20="","",SUMIFS(Sales!$E$7:$E$504,Sales!$C$7:$C$504,B20,Sales!$B$7:$B$504,"&gt;="&amp;Settings!$C$10,Sales!$B$7:$B$504,"&lt;="&amp;Settings!$C$11))</f>
        <v/>
      </c>
      <c r="P20" s="36" t="str">
        <f aca="false">IF(OR(B20="",O20=0),"",MAX(N20,0)/(O20/MAX(1,Settings!$C$11-Settings!$C$10)))</f>
        <v/>
      </c>
      <c r="Q20" s="37" t="str">
        <f aca="false">IF(B20="","",IF(N20&lt;=0,"Out of stock",IF(N20&lt;=I20,"Restock","OK")))</f>
        <v/>
      </c>
      <c r="R20" s="33" t="str">
        <f aca="false">IF(B20="","",MAX(N20,0)*J20)</f>
        <v/>
      </c>
      <c r="S20" s="1"/>
    </row>
    <row r="21" customFormat="false" ht="21.75" hidden="false" customHeight="true" outlineLevel="0" collapsed="false">
      <c r="A21" s="1"/>
      <c r="B21" s="31"/>
      <c r="C21" s="31"/>
      <c r="D21" s="31"/>
      <c r="E21" s="32"/>
      <c r="F21" s="31"/>
      <c r="G21" s="32"/>
      <c r="H21" s="31"/>
      <c r="I21" s="31"/>
      <c r="J21" s="33" t="str">
        <f aca="false">IF(B21="","",E21+F21/60*Settings!$C$8)</f>
        <v/>
      </c>
      <c r="K21" s="34" t="str">
        <f aca="false">IF(OR(B21="",G21=0),"",(G21-J21)/G21)</f>
        <v/>
      </c>
      <c r="L21" s="35" t="str">
        <f aca="false">IF(B21="","",SUMIFS(Production!$E$7:$E$204,Production!$C$7:$C$204,B21,Production!$G$7:$G$204,"Done"))</f>
        <v/>
      </c>
      <c r="M21" s="35" t="str">
        <f aca="false">IF(B21="","",SUMIFS(Sales!$E$7:$E$504,Sales!$C$7:$C$504,B21))</f>
        <v/>
      </c>
      <c r="N21" s="35" t="str">
        <f aca="false">IF(B21="","",H21+L21-M21)</f>
        <v/>
      </c>
      <c r="O21" s="35" t="str">
        <f aca="false">IF(B21="","",SUMIFS(Sales!$E$7:$E$504,Sales!$C$7:$C$504,B21,Sales!$B$7:$B$504,"&gt;="&amp;Settings!$C$10,Sales!$B$7:$B$504,"&lt;="&amp;Settings!$C$11))</f>
        <v/>
      </c>
      <c r="P21" s="36" t="str">
        <f aca="false">IF(OR(B21="",O21=0),"",MAX(N21,0)/(O21/MAX(1,Settings!$C$11-Settings!$C$10)))</f>
        <v/>
      </c>
      <c r="Q21" s="37" t="str">
        <f aca="false">IF(B21="","",IF(N21&lt;=0,"Out of stock",IF(N21&lt;=I21,"Restock","OK")))</f>
        <v/>
      </c>
      <c r="R21" s="33" t="str">
        <f aca="false">IF(B21="","",MAX(N21,0)*J21)</f>
        <v/>
      </c>
      <c r="S21" s="1"/>
    </row>
    <row r="22" customFormat="false" ht="21.75" hidden="false" customHeight="true" outlineLevel="0" collapsed="false">
      <c r="A22" s="1"/>
      <c r="B22" s="31"/>
      <c r="C22" s="31"/>
      <c r="D22" s="31"/>
      <c r="E22" s="32"/>
      <c r="F22" s="31"/>
      <c r="G22" s="32"/>
      <c r="H22" s="31"/>
      <c r="I22" s="31"/>
      <c r="J22" s="33" t="str">
        <f aca="false">IF(B22="","",E22+F22/60*Settings!$C$8)</f>
        <v/>
      </c>
      <c r="K22" s="34" t="str">
        <f aca="false">IF(OR(B22="",G22=0),"",(G22-J22)/G22)</f>
        <v/>
      </c>
      <c r="L22" s="35" t="str">
        <f aca="false">IF(B22="","",SUMIFS(Production!$E$7:$E$204,Production!$C$7:$C$204,B22,Production!$G$7:$G$204,"Done"))</f>
        <v/>
      </c>
      <c r="M22" s="35" t="str">
        <f aca="false">IF(B22="","",SUMIFS(Sales!$E$7:$E$504,Sales!$C$7:$C$504,B22))</f>
        <v/>
      </c>
      <c r="N22" s="35" t="str">
        <f aca="false">IF(B22="","",H22+L22-M22)</f>
        <v/>
      </c>
      <c r="O22" s="35" t="str">
        <f aca="false">IF(B22="","",SUMIFS(Sales!$E$7:$E$504,Sales!$C$7:$C$504,B22,Sales!$B$7:$B$504,"&gt;="&amp;Settings!$C$10,Sales!$B$7:$B$504,"&lt;="&amp;Settings!$C$11))</f>
        <v/>
      </c>
      <c r="P22" s="36" t="str">
        <f aca="false">IF(OR(B22="",O22=0),"",MAX(N22,0)/(O22/MAX(1,Settings!$C$11-Settings!$C$10)))</f>
        <v/>
      </c>
      <c r="Q22" s="37" t="str">
        <f aca="false">IF(B22="","",IF(N22&lt;=0,"Out of stock",IF(N22&lt;=I22,"Restock","OK")))</f>
        <v/>
      </c>
      <c r="R22" s="33" t="str">
        <f aca="false">IF(B22="","",MAX(N22,0)*J22)</f>
        <v/>
      </c>
      <c r="S22" s="1"/>
    </row>
    <row r="23" customFormat="false" ht="21.75" hidden="false" customHeight="true" outlineLevel="0" collapsed="false">
      <c r="A23" s="1"/>
      <c r="B23" s="31"/>
      <c r="C23" s="31"/>
      <c r="D23" s="31"/>
      <c r="E23" s="32"/>
      <c r="F23" s="31"/>
      <c r="G23" s="32"/>
      <c r="H23" s="31"/>
      <c r="I23" s="31"/>
      <c r="J23" s="33" t="str">
        <f aca="false">IF(B23="","",E23+F23/60*Settings!$C$8)</f>
        <v/>
      </c>
      <c r="K23" s="34" t="str">
        <f aca="false">IF(OR(B23="",G23=0),"",(G23-J23)/G23)</f>
        <v/>
      </c>
      <c r="L23" s="35" t="str">
        <f aca="false">IF(B23="","",SUMIFS(Production!$E$7:$E$204,Production!$C$7:$C$204,B23,Production!$G$7:$G$204,"Done"))</f>
        <v/>
      </c>
      <c r="M23" s="35" t="str">
        <f aca="false">IF(B23="","",SUMIFS(Sales!$E$7:$E$504,Sales!$C$7:$C$504,B23))</f>
        <v/>
      </c>
      <c r="N23" s="35" t="str">
        <f aca="false">IF(B23="","",H23+L23-M23)</f>
        <v/>
      </c>
      <c r="O23" s="35" t="str">
        <f aca="false">IF(B23="","",SUMIFS(Sales!$E$7:$E$504,Sales!$C$7:$C$504,B23,Sales!$B$7:$B$504,"&gt;="&amp;Settings!$C$10,Sales!$B$7:$B$504,"&lt;="&amp;Settings!$C$11))</f>
        <v/>
      </c>
      <c r="P23" s="36" t="str">
        <f aca="false">IF(OR(B23="",O23=0),"",MAX(N23,0)/(O23/MAX(1,Settings!$C$11-Settings!$C$10)))</f>
        <v/>
      </c>
      <c r="Q23" s="37" t="str">
        <f aca="false">IF(B23="","",IF(N23&lt;=0,"Out of stock",IF(N23&lt;=I23,"Restock","OK")))</f>
        <v/>
      </c>
      <c r="R23" s="33" t="str">
        <f aca="false">IF(B23="","",MAX(N23,0)*J23)</f>
        <v/>
      </c>
      <c r="S23" s="1"/>
    </row>
    <row r="24" customFormat="false" ht="21.75" hidden="false" customHeight="true" outlineLevel="0" collapsed="false">
      <c r="A24" s="1"/>
      <c r="B24" s="31"/>
      <c r="C24" s="31"/>
      <c r="D24" s="31"/>
      <c r="E24" s="32"/>
      <c r="F24" s="31"/>
      <c r="G24" s="32"/>
      <c r="H24" s="31"/>
      <c r="I24" s="31"/>
      <c r="J24" s="33" t="str">
        <f aca="false">IF(B24="","",E24+F24/60*Settings!$C$8)</f>
        <v/>
      </c>
      <c r="K24" s="34" t="str">
        <f aca="false">IF(OR(B24="",G24=0),"",(G24-J24)/G24)</f>
        <v/>
      </c>
      <c r="L24" s="35" t="str">
        <f aca="false">IF(B24="","",SUMIFS(Production!$E$7:$E$204,Production!$C$7:$C$204,B24,Production!$G$7:$G$204,"Done"))</f>
        <v/>
      </c>
      <c r="M24" s="35" t="str">
        <f aca="false">IF(B24="","",SUMIFS(Sales!$E$7:$E$504,Sales!$C$7:$C$504,B24))</f>
        <v/>
      </c>
      <c r="N24" s="35" t="str">
        <f aca="false">IF(B24="","",H24+L24-M24)</f>
        <v/>
      </c>
      <c r="O24" s="35" t="str">
        <f aca="false">IF(B24="","",SUMIFS(Sales!$E$7:$E$504,Sales!$C$7:$C$504,B24,Sales!$B$7:$B$504,"&gt;="&amp;Settings!$C$10,Sales!$B$7:$B$504,"&lt;="&amp;Settings!$C$11))</f>
        <v/>
      </c>
      <c r="P24" s="36" t="str">
        <f aca="false">IF(OR(B24="",O24=0),"",MAX(N24,0)/(O24/MAX(1,Settings!$C$11-Settings!$C$10)))</f>
        <v/>
      </c>
      <c r="Q24" s="37" t="str">
        <f aca="false">IF(B24="","",IF(N24&lt;=0,"Out of stock",IF(N24&lt;=I24,"Restock","OK")))</f>
        <v/>
      </c>
      <c r="R24" s="33" t="str">
        <f aca="false">IF(B24="","",MAX(N24,0)*J24)</f>
        <v/>
      </c>
      <c r="S24" s="1"/>
    </row>
    <row r="25" customFormat="false" ht="21.75" hidden="false" customHeight="true" outlineLevel="0" collapsed="false">
      <c r="A25" s="1"/>
      <c r="B25" s="31"/>
      <c r="C25" s="31"/>
      <c r="D25" s="31"/>
      <c r="E25" s="32"/>
      <c r="F25" s="31"/>
      <c r="G25" s="32"/>
      <c r="H25" s="31"/>
      <c r="I25" s="31"/>
      <c r="J25" s="33" t="str">
        <f aca="false">IF(B25="","",E25+F25/60*Settings!$C$8)</f>
        <v/>
      </c>
      <c r="K25" s="34" t="str">
        <f aca="false">IF(OR(B25="",G25=0),"",(G25-J25)/G25)</f>
        <v/>
      </c>
      <c r="L25" s="35" t="str">
        <f aca="false">IF(B25="","",SUMIFS(Production!$E$7:$E$204,Production!$C$7:$C$204,B25,Production!$G$7:$G$204,"Done"))</f>
        <v/>
      </c>
      <c r="M25" s="35" t="str">
        <f aca="false">IF(B25="","",SUMIFS(Sales!$E$7:$E$504,Sales!$C$7:$C$504,B25))</f>
        <v/>
      </c>
      <c r="N25" s="35" t="str">
        <f aca="false">IF(B25="","",H25+L25-M25)</f>
        <v/>
      </c>
      <c r="O25" s="35" t="str">
        <f aca="false">IF(B25="","",SUMIFS(Sales!$E$7:$E$504,Sales!$C$7:$C$504,B25,Sales!$B$7:$B$504,"&gt;="&amp;Settings!$C$10,Sales!$B$7:$B$504,"&lt;="&amp;Settings!$C$11))</f>
        <v/>
      </c>
      <c r="P25" s="36" t="str">
        <f aca="false">IF(OR(B25="",O25=0),"",MAX(N25,0)/(O25/MAX(1,Settings!$C$11-Settings!$C$10)))</f>
        <v/>
      </c>
      <c r="Q25" s="37" t="str">
        <f aca="false">IF(B25="","",IF(N25&lt;=0,"Out of stock",IF(N25&lt;=I25,"Restock","OK")))</f>
        <v/>
      </c>
      <c r="R25" s="33" t="str">
        <f aca="false">IF(B25="","",MAX(N25,0)*J25)</f>
        <v/>
      </c>
      <c r="S25" s="1"/>
    </row>
    <row r="26" customFormat="false" ht="21.75" hidden="false" customHeight="true" outlineLevel="0" collapsed="false">
      <c r="A26" s="1"/>
      <c r="B26" s="31"/>
      <c r="C26" s="31"/>
      <c r="D26" s="31"/>
      <c r="E26" s="32"/>
      <c r="F26" s="31"/>
      <c r="G26" s="32"/>
      <c r="H26" s="31"/>
      <c r="I26" s="31"/>
      <c r="J26" s="33" t="str">
        <f aca="false">IF(B26="","",E26+F26/60*Settings!$C$8)</f>
        <v/>
      </c>
      <c r="K26" s="34" t="str">
        <f aca="false">IF(OR(B26="",G26=0),"",(G26-J26)/G26)</f>
        <v/>
      </c>
      <c r="L26" s="35" t="str">
        <f aca="false">IF(B26="","",SUMIFS(Production!$E$7:$E$204,Production!$C$7:$C$204,B26,Production!$G$7:$G$204,"Done"))</f>
        <v/>
      </c>
      <c r="M26" s="35" t="str">
        <f aca="false">IF(B26="","",SUMIFS(Sales!$E$7:$E$504,Sales!$C$7:$C$504,B26))</f>
        <v/>
      </c>
      <c r="N26" s="35" t="str">
        <f aca="false">IF(B26="","",H26+L26-M26)</f>
        <v/>
      </c>
      <c r="O26" s="35" t="str">
        <f aca="false">IF(B26="","",SUMIFS(Sales!$E$7:$E$504,Sales!$C$7:$C$504,B26,Sales!$B$7:$B$504,"&gt;="&amp;Settings!$C$10,Sales!$B$7:$B$504,"&lt;="&amp;Settings!$C$11))</f>
        <v/>
      </c>
      <c r="P26" s="36" t="str">
        <f aca="false">IF(OR(B26="",O26=0),"",MAX(N26,0)/(O26/MAX(1,Settings!$C$11-Settings!$C$10)))</f>
        <v/>
      </c>
      <c r="Q26" s="37" t="str">
        <f aca="false">IF(B26="","",IF(N26&lt;=0,"Out of stock",IF(N26&lt;=I26,"Restock","OK")))</f>
        <v/>
      </c>
      <c r="R26" s="33" t="str">
        <f aca="false">IF(B26="","",MAX(N26,0)*J26)</f>
        <v/>
      </c>
      <c r="S26" s="1"/>
    </row>
    <row r="27" customFormat="false" ht="21.75" hidden="false" customHeight="true" outlineLevel="0" collapsed="false">
      <c r="A27" s="1"/>
      <c r="B27" s="31"/>
      <c r="C27" s="31"/>
      <c r="D27" s="31"/>
      <c r="E27" s="32"/>
      <c r="F27" s="31"/>
      <c r="G27" s="32"/>
      <c r="H27" s="31"/>
      <c r="I27" s="31"/>
      <c r="J27" s="33" t="str">
        <f aca="false">IF(B27="","",E27+F27/60*Settings!$C$8)</f>
        <v/>
      </c>
      <c r="K27" s="34" t="str">
        <f aca="false">IF(OR(B27="",G27=0),"",(G27-J27)/G27)</f>
        <v/>
      </c>
      <c r="L27" s="35" t="str">
        <f aca="false">IF(B27="","",SUMIFS(Production!$E$7:$E$204,Production!$C$7:$C$204,B27,Production!$G$7:$G$204,"Done"))</f>
        <v/>
      </c>
      <c r="M27" s="35" t="str">
        <f aca="false">IF(B27="","",SUMIFS(Sales!$E$7:$E$504,Sales!$C$7:$C$504,B27))</f>
        <v/>
      </c>
      <c r="N27" s="35" t="str">
        <f aca="false">IF(B27="","",H27+L27-M27)</f>
        <v/>
      </c>
      <c r="O27" s="35" t="str">
        <f aca="false">IF(B27="","",SUMIFS(Sales!$E$7:$E$504,Sales!$C$7:$C$504,B27,Sales!$B$7:$B$504,"&gt;="&amp;Settings!$C$10,Sales!$B$7:$B$504,"&lt;="&amp;Settings!$C$11))</f>
        <v/>
      </c>
      <c r="P27" s="36" t="str">
        <f aca="false">IF(OR(B27="",O27=0),"",MAX(N27,0)/(O27/MAX(1,Settings!$C$11-Settings!$C$10)))</f>
        <v/>
      </c>
      <c r="Q27" s="37" t="str">
        <f aca="false">IF(B27="","",IF(N27&lt;=0,"Out of stock",IF(N27&lt;=I27,"Restock","OK")))</f>
        <v/>
      </c>
      <c r="R27" s="33" t="str">
        <f aca="false">IF(B27="","",MAX(N27,0)*J27)</f>
        <v/>
      </c>
      <c r="S27" s="1"/>
    </row>
    <row r="28" customFormat="false" ht="21.75" hidden="false" customHeight="true" outlineLevel="0" collapsed="false">
      <c r="A28" s="1"/>
      <c r="B28" s="31"/>
      <c r="C28" s="31"/>
      <c r="D28" s="31"/>
      <c r="E28" s="32"/>
      <c r="F28" s="31"/>
      <c r="G28" s="32"/>
      <c r="H28" s="31"/>
      <c r="I28" s="31"/>
      <c r="J28" s="33" t="str">
        <f aca="false">IF(B28="","",E28+F28/60*Settings!$C$8)</f>
        <v/>
      </c>
      <c r="K28" s="34" t="str">
        <f aca="false">IF(OR(B28="",G28=0),"",(G28-J28)/G28)</f>
        <v/>
      </c>
      <c r="L28" s="35" t="str">
        <f aca="false">IF(B28="","",SUMIFS(Production!$E$7:$E$204,Production!$C$7:$C$204,B28,Production!$G$7:$G$204,"Done"))</f>
        <v/>
      </c>
      <c r="M28" s="35" t="str">
        <f aca="false">IF(B28="","",SUMIFS(Sales!$E$7:$E$504,Sales!$C$7:$C$504,B28))</f>
        <v/>
      </c>
      <c r="N28" s="35" t="str">
        <f aca="false">IF(B28="","",H28+L28-M28)</f>
        <v/>
      </c>
      <c r="O28" s="35" t="str">
        <f aca="false">IF(B28="","",SUMIFS(Sales!$E$7:$E$504,Sales!$C$7:$C$504,B28,Sales!$B$7:$B$504,"&gt;="&amp;Settings!$C$10,Sales!$B$7:$B$504,"&lt;="&amp;Settings!$C$11))</f>
        <v/>
      </c>
      <c r="P28" s="36" t="str">
        <f aca="false">IF(OR(B28="",O28=0),"",MAX(N28,0)/(O28/MAX(1,Settings!$C$11-Settings!$C$10)))</f>
        <v/>
      </c>
      <c r="Q28" s="37" t="str">
        <f aca="false">IF(B28="","",IF(N28&lt;=0,"Out of stock",IF(N28&lt;=I28,"Restock","OK")))</f>
        <v/>
      </c>
      <c r="R28" s="33" t="str">
        <f aca="false">IF(B28="","",MAX(N28,0)*J28)</f>
        <v/>
      </c>
      <c r="S28" s="1"/>
    </row>
    <row r="29" customFormat="false" ht="21.75" hidden="false" customHeight="true" outlineLevel="0" collapsed="false">
      <c r="A29" s="1"/>
      <c r="B29" s="31"/>
      <c r="C29" s="31"/>
      <c r="D29" s="31"/>
      <c r="E29" s="32"/>
      <c r="F29" s="31"/>
      <c r="G29" s="32"/>
      <c r="H29" s="31"/>
      <c r="I29" s="31"/>
      <c r="J29" s="33" t="str">
        <f aca="false">IF(B29="","",E29+F29/60*Settings!$C$8)</f>
        <v/>
      </c>
      <c r="K29" s="34" t="str">
        <f aca="false">IF(OR(B29="",G29=0),"",(G29-J29)/G29)</f>
        <v/>
      </c>
      <c r="L29" s="35" t="str">
        <f aca="false">IF(B29="","",SUMIFS(Production!$E$7:$E$204,Production!$C$7:$C$204,B29,Production!$G$7:$G$204,"Done"))</f>
        <v/>
      </c>
      <c r="M29" s="35" t="str">
        <f aca="false">IF(B29="","",SUMIFS(Sales!$E$7:$E$504,Sales!$C$7:$C$504,B29))</f>
        <v/>
      </c>
      <c r="N29" s="35" t="str">
        <f aca="false">IF(B29="","",H29+L29-M29)</f>
        <v/>
      </c>
      <c r="O29" s="35" t="str">
        <f aca="false">IF(B29="","",SUMIFS(Sales!$E$7:$E$504,Sales!$C$7:$C$504,B29,Sales!$B$7:$B$504,"&gt;="&amp;Settings!$C$10,Sales!$B$7:$B$504,"&lt;="&amp;Settings!$C$11))</f>
        <v/>
      </c>
      <c r="P29" s="36" t="str">
        <f aca="false">IF(OR(B29="",O29=0),"",MAX(N29,0)/(O29/MAX(1,Settings!$C$11-Settings!$C$10)))</f>
        <v/>
      </c>
      <c r="Q29" s="37" t="str">
        <f aca="false">IF(B29="","",IF(N29&lt;=0,"Out of stock",IF(N29&lt;=I29,"Restock","OK")))</f>
        <v/>
      </c>
      <c r="R29" s="33" t="str">
        <f aca="false">IF(B29="","",MAX(N29,0)*J29)</f>
        <v/>
      </c>
      <c r="S29" s="1"/>
    </row>
    <row r="30" customFormat="false" ht="21.75" hidden="false" customHeight="true" outlineLevel="0" collapsed="false">
      <c r="A30" s="1"/>
      <c r="B30" s="31"/>
      <c r="C30" s="31"/>
      <c r="D30" s="31"/>
      <c r="E30" s="32"/>
      <c r="F30" s="31"/>
      <c r="G30" s="32"/>
      <c r="H30" s="31"/>
      <c r="I30" s="31"/>
      <c r="J30" s="33" t="str">
        <f aca="false">IF(B30="","",E30+F30/60*Settings!$C$8)</f>
        <v/>
      </c>
      <c r="K30" s="34" t="str">
        <f aca="false">IF(OR(B30="",G30=0),"",(G30-J30)/G30)</f>
        <v/>
      </c>
      <c r="L30" s="35" t="str">
        <f aca="false">IF(B30="","",SUMIFS(Production!$E$7:$E$204,Production!$C$7:$C$204,B30,Production!$G$7:$G$204,"Done"))</f>
        <v/>
      </c>
      <c r="M30" s="35" t="str">
        <f aca="false">IF(B30="","",SUMIFS(Sales!$E$7:$E$504,Sales!$C$7:$C$504,B30))</f>
        <v/>
      </c>
      <c r="N30" s="35" t="str">
        <f aca="false">IF(B30="","",H30+L30-M30)</f>
        <v/>
      </c>
      <c r="O30" s="35" t="str">
        <f aca="false">IF(B30="","",SUMIFS(Sales!$E$7:$E$504,Sales!$C$7:$C$504,B30,Sales!$B$7:$B$504,"&gt;="&amp;Settings!$C$10,Sales!$B$7:$B$504,"&lt;="&amp;Settings!$C$11))</f>
        <v/>
      </c>
      <c r="P30" s="36" t="str">
        <f aca="false">IF(OR(B30="",O30=0),"",MAX(N30,0)/(O30/MAX(1,Settings!$C$11-Settings!$C$10)))</f>
        <v/>
      </c>
      <c r="Q30" s="37" t="str">
        <f aca="false">IF(B30="","",IF(N30&lt;=0,"Out of stock",IF(N30&lt;=I30,"Restock","OK")))</f>
        <v/>
      </c>
      <c r="R30" s="33" t="str">
        <f aca="false">IF(B30="","",MAX(N30,0)*J30)</f>
        <v/>
      </c>
      <c r="S30" s="1"/>
    </row>
    <row r="31" customFormat="false" ht="21.75" hidden="false" customHeight="true" outlineLevel="0" collapsed="false">
      <c r="A31" s="1"/>
      <c r="B31" s="31"/>
      <c r="C31" s="31"/>
      <c r="D31" s="31"/>
      <c r="E31" s="32"/>
      <c r="F31" s="31"/>
      <c r="G31" s="32"/>
      <c r="H31" s="31"/>
      <c r="I31" s="31"/>
      <c r="J31" s="33" t="str">
        <f aca="false">IF(B31="","",E31+F31/60*Settings!$C$8)</f>
        <v/>
      </c>
      <c r="K31" s="34" t="str">
        <f aca="false">IF(OR(B31="",G31=0),"",(G31-J31)/G31)</f>
        <v/>
      </c>
      <c r="L31" s="35" t="str">
        <f aca="false">IF(B31="","",SUMIFS(Production!$E$7:$E$204,Production!$C$7:$C$204,B31,Production!$G$7:$G$204,"Done"))</f>
        <v/>
      </c>
      <c r="M31" s="35" t="str">
        <f aca="false">IF(B31="","",SUMIFS(Sales!$E$7:$E$504,Sales!$C$7:$C$504,B31))</f>
        <v/>
      </c>
      <c r="N31" s="35" t="str">
        <f aca="false">IF(B31="","",H31+L31-M31)</f>
        <v/>
      </c>
      <c r="O31" s="35" t="str">
        <f aca="false">IF(B31="","",SUMIFS(Sales!$E$7:$E$504,Sales!$C$7:$C$504,B31,Sales!$B$7:$B$504,"&gt;="&amp;Settings!$C$10,Sales!$B$7:$B$504,"&lt;="&amp;Settings!$C$11))</f>
        <v/>
      </c>
      <c r="P31" s="36" t="str">
        <f aca="false">IF(OR(B31="",O31=0),"",MAX(N31,0)/(O31/MAX(1,Settings!$C$11-Settings!$C$10)))</f>
        <v/>
      </c>
      <c r="Q31" s="37" t="str">
        <f aca="false">IF(B31="","",IF(N31&lt;=0,"Out of stock",IF(N31&lt;=I31,"Restock","OK")))</f>
        <v/>
      </c>
      <c r="R31" s="33" t="str">
        <f aca="false">IF(B31="","",MAX(N31,0)*J31)</f>
        <v/>
      </c>
      <c r="S31" s="1"/>
    </row>
    <row r="32" customFormat="false" ht="21.75" hidden="false" customHeight="true" outlineLevel="0" collapsed="false">
      <c r="A32" s="1"/>
      <c r="B32" s="31"/>
      <c r="C32" s="31"/>
      <c r="D32" s="31"/>
      <c r="E32" s="32"/>
      <c r="F32" s="31"/>
      <c r="G32" s="32"/>
      <c r="H32" s="31"/>
      <c r="I32" s="31"/>
      <c r="J32" s="33" t="str">
        <f aca="false">IF(B32="","",E32+F32/60*Settings!$C$8)</f>
        <v/>
      </c>
      <c r="K32" s="34" t="str">
        <f aca="false">IF(OR(B32="",G32=0),"",(G32-J32)/G32)</f>
        <v/>
      </c>
      <c r="L32" s="35" t="str">
        <f aca="false">IF(B32="","",SUMIFS(Production!$E$7:$E$204,Production!$C$7:$C$204,B32,Production!$G$7:$G$204,"Done"))</f>
        <v/>
      </c>
      <c r="M32" s="35" t="str">
        <f aca="false">IF(B32="","",SUMIFS(Sales!$E$7:$E$504,Sales!$C$7:$C$504,B32))</f>
        <v/>
      </c>
      <c r="N32" s="35" t="str">
        <f aca="false">IF(B32="","",H32+L32-M32)</f>
        <v/>
      </c>
      <c r="O32" s="35" t="str">
        <f aca="false">IF(B32="","",SUMIFS(Sales!$E$7:$E$504,Sales!$C$7:$C$504,B32,Sales!$B$7:$B$504,"&gt;="&amp;Settings!$C$10,Sales!$B$7:$B$504,"&lt;="&amp;Settings!$C$11))</f>
        <v/>
      </c>
      <c r="P32" s="36" t="str">
        <f aca="false">IF(OR(B32="",O32=0),"",MAX(N32,0)/(O32/MAX(1,Settings!$C$11-Settings!$C$10)))</f>
        <v/>
      </c>
      <c r="Q32" s="37" t="str">
        <f aca="false">IF(B32="","",IF(N32&lt;=0,"Out of stock",IF(N32&lt;=I32,"Restock","OK")))</f>
        <v/>
      </c>
      <c r="R32" s="33" t="str">
        <f aca="false">IF(B32="","",MAX(N32,0)*J32)</f>
        <v/>
      </c>
      <c r="S32" s="1"/>
    </row>
    <row r="33" customFormat="false" ht="21.75" hidden="false" customHeight="true" outlineLevel="0" collapsed="false">
      <c r="A33" s="1"/>
      <c r="B33" s="31"/>
      <c r="C33" s="31"/>
      <c r="D33" s="31"/>
      <c r="E33" s="32"/>
      <c r="F33" s="31"/>
      <c r="G33" s="32"/>
      <c r="H33" s="31"/>
      <c r="I33" s="31"/>
      <c r="J33" s="33" t="str">
        <f aca="false">IF(B33="","",E33+F33/60*Settings!$C$8)</f>
        <v/>
      </c>
      <c r="K33" s="34" t="str">
        <f aca="false">IF(OR(B33="",G33=0),"",(G33-J33)/G33)</f>
        <v/>
      </c>
      <c r="L33" s="35" t="str">
        <f aca="false">IF(B33="","",SUMIFS(Production!$E$7:$E$204,Production!$C$7:$C$204,B33,Production!$G$7:$G$204,"Done"))</f>
        <v/>
      </c>
      <c r="M33" s="35" t="str">
        <f aca="false">IF(B33="","",SUMIFS(Sales!$E$7:$E$504,Sales!$C$7:$C$504,B33))</f>
        <v/>
      </c>
      <c r="N33" s="35" t="str">
        <f aca="false">IF(B33="","",H33+L33-M33)</f>
        <v/>
      </c>
      <c r="O33" s="35" t="str">
        <f aca="false">IF(B33="","",SUMIFS(Sales!$E$7:$E$504,Sales!$C$7:$C$504,B33,Sales!$B$7:$B$504,"&gt;="&amp;Settings!$C$10,Sales!$B$7:$B$504,"&lt;="&amp;Settings!$C$11))</f>
        <v/>
      </c>
      <c r="P33" s="36" t="str">
        <f aca="false">IF(OR(B33="",O33=0),"",MAX(N33,0)/(O33/MAX(1,Settings!$C$11-Settings!$C$10)))</f>
        <v/>
      </c>
      <c r="Q33" s="37" t="str">
        <f aca="false">IF(B33="","",IF(N33&lt;=0,"Out of stock",IF(N33&lt;=I33,"Restock","OK")))</f>
        <v/>
      </c>
      <c r="R33" s="33" t="str">
        <f aca="false">IF(B33="","",MAX(N33,0)*J33)</f>
        <v/>
      </c>
      <c r="S33" s="1"/>
    </row>
    <row r="34" customFormat="false" ht="21.75" hidden="false" customHeight="true" outlineLevel="0" collapsed="false">
      <c r="A34" s="1"/>
      <c r="B34" s="31"/>
      <c r="C34" s="31"/>
      <c r="D34" s="31"/>
      <c r="E34" s="32"/>
      <c r="F34" s="31"/>
      <c r="G34" s="32"/>
      <c r="H34" s="31"/>
      <c r="I34" s="31"/>
      <c r="J34" s="33" t="str">
        <f aca="false">IF(B34="","",E34+F34/60*Settings!$C$8)</f>
        <v/>
      </c>
      <c r="K34" s="34" t="str">
        <f aca="false">IF(OR(B34="",G34=0),"",(G34-J34)/G34)</f>
        <v/>
      </c>
      <c r="L34" s="35" t="str">
        <f aca="false">IF(B34="","",SUMIFS(Production!$E$7:$E$204,Production!$C$7:$C$204,B34,Production!$G$7:$G$204,"Done"))</f>
        <v/>
      </c>
      <c r="M34" s="35" t="str">
        <f aca="false">IF(B34="","",SUMIFS(Sales!$E$7:$E$504,Sales!$C$7:$C$504,B34))</f>
        <v/>
      </c>
      <c r="N34" s="35" t="str">
        <f aca="false">IF(B34="","",H34+L34-M34)</f>
        <v/>
      </c>
      <c r="O34" s="35" t="str">
        <f aca="false">IF(B34="","",SUMIFS(Sales!$E$7:$E$504,Sales!$C$7:$C$504,B34,Sales!$B$7:$B$504,"&gt;="&amp;Settings!$C$10,Sales!$B$7:$B$504,"&lt;="&amp;Settings!$C$11))</f>
        <v/>
      </c>
      <c r="P34" s="36" t="str">
        <f aca="false">IF(OR(B34="",O34=0),"",MAX(N34,0)/(O34/MAX(1,Settings!$C$11-Settings!$C$10)))</f>
        <v/>
      </c>
      <c r="Q34" s="37" t="str">
        <f aca="false">IF(B34="","",IF(N34&lt;=0,"Out of stock",IF(N34&lt;=I34,"Restock","OK")))</f>
        <v/>
      </c>
      <c r="R34" s="33" t="str">
        <f aca="false">IF(B34="","",MAX(N34,0)*J34)</f>
        <v/>
      </c>
      <c r="S34" s="1"/>
    </row>
    <row r="35" customFormat="false" ht="21.75" hidden="false" customHeight="true" outlineLevel="0" collapsed="false">
      <c r="A35" s="1"/>
      <c r="B35" s="31"/>
      <c r="C35" s="31"/>
      <c r="D35" s="31"/>
      <c r="E35" s="32"/>
      <c r="F35" s="31"/>
      <c r="G35" s="32"/>
      <c r="H35" s="31"/>
      <c r="I35" s="31"/>
      <c r="J35" s="33" t="str">
        <f aca="false">IF(B35="","",E35+F35/60*Settings!$C$8)</f>
        <v/>
      </c>
      <c r="K35" s="34" t="str">
        <f aca="false">IF(OR(B35="",G35=0),"",(G35-J35)/G35)</f>
        <v/>
      </c>
      <c r="L35" s="35" t="str">
        <f aca="false">IF(B35="","",SUMIFS(Production!$E$7:$E$204,Production!$C$7:$C$204,B35,Production!$G$7:$G$204,"Done"))</f>
        <v/>
      </c>
      <c r="M35" s="35" t="str">
        <f aca="false">IF(B35="","",SUMIFS(Sales!$E$7:$E$504,Sales!$C$7:$C$504,B35))</f>
        <v/>
      </c>
      <c r="N35" s="35" t="str">
        <f aca="false">IF(B35="","",H35+L35-M35)</f>
        <v/>
      </c>
      <c r="O35" s="35" t="str">
        <f aca="false">IF(B35="","",SUMIFS(Sales!$E$7:$E$504,Sales!$C$7:$C$504,B35,Sales!$B$7:$B$504,"&gt;="&amp;Settings!$C$10,Sales!$B$7:$B$504,"&lt;="&amp;Settings!$C$11))</f>
        <v/>
      </c>
      <c r="P35" s="36" t="str">
        <f aca="false">IF(OR(B35="",O35=0),"",MAX(N35,0)/(O35/MAX(1,Settings!$C$11-Settings!$C$10)))</f>
        <v/>
      </c>
      <c r="Q35" s="37" t="str">
        <f aca="false">IF(B35="","",IF(N35&lt;=0,"Out of stock",IF(N35&lt;=I35,"Restock","OK")))</f>
        <v/>
      </c>
      <c r="R35" s="33" t="str">
        <f aca="false">IF(B35="","",MAX(N35,0)*J35)</f>
        <v/>
      </c>
      <c r="S35" s="1"/>
    </row>
    <row r="36" customFormat="false" ht="21.75" hidden="false" customHeight="true" outlineLevel="0" collapsed="false">
      <c r="A36" s="1"/>
      <c r="B36" s="31"/>
      <c r="C36" s="31"/>
      <c r="D36" s="31"/>
      <c r="E36" s="32"/>
      <c r="F36" s="31"/>
      <c r="G36" s="32"/>
      <c r="H36" s="31"/>
      <c r="I36" s="31"/>
      <c r="J36" s="33" t="str">
        <f aca="false">IF(B36="","",E36+F36/60*Settings!$C$8)</f>
        <v/>
      </c>
      <c r="K36" s="34" t="str">
        <f aca="false">IF(OR(B36="",G36=0),"",(G36-J36)/G36)</f>
        <v/>
      </c>
      <c r="L36" s="35" t="str">
        <f aca="false">IF(B36="","",SUMIFS(Production!$E$7:$E$204,Production!$C$7:$C$204,B36,Production!$G$7:$G$204,"Done"))</f>
        <v/>
      </c>
      <c r="M36" s="35" t="str">
        <f aca="false">IF(B36="","",SUMIFS(Sales!$E$7:$E$504,Sales!$C$7:$C$504,B36))</f>
        <v/>
      </c>
      <c r="N36" s="35" t="str">
        <f aca="false">IF(B36="","",H36+L36-M36)</f>
        <v/>
      </c>
      <c r="O36" s="35" t="str">
        <f aca="false">IF(B36="","",SUMIFS(Sales!$E$7:$E$504,Sales!$C$7:$C$504,B36,Sales!$B$7:$B$504,"&gt;="&amp;Settings!$C$10,Sales!$B$7:$B$504,"&lt;="&amp;Settings!$C$11))</f>
        <v/>
      </c>
      <c r="P36" s="36" t="str">
        <f aca="false">IF(OR(B36="",O36=0),"",MAX(N36,0)/(O36/MAX(1,Settings!$C$11-Settings!$C$10)))</f>
        <v/>
      </c>
      <c r="Q36" s="37" t="str">
        <f aca="false">IF(B36="","",IF(N36&lt;=0,"Out of stock",IF(N36&lt;=I36,"Restock","OK")))</f>
        <v/>
      </c>
      <c r="R36" s="33" t="str">
        <f aca="false">IF(B36="","",MAX(N36,0)*J36)</f>
        <v/>
      </c>
      <c r="S36" s="1"/>
    </row>
    <row r="37" customFormat="false" ht="21.75" hidden="false" customHeight="true" outlineLevel="0" collapsed="false">
      <c r="A37" s="1"/>
      <c r="B37" s="31"/>
      <c r="C37" s="31"/>
      <c r="D37" s="31"/>
      <c r="E37" s="32"/>
      <c r="F37" s="31"/>
      <c r="G37" s="32"/>
      <c r="H37" s="31"/>
      <c r="I37" s="31"/>
      <c r="J37" s="33" t="str">
        <f aca="false">IF(B37="","",E37+F37/60*Settings!$C$8)</f>
        <v/>
      </c>
      <c r="K37" s="34" t="str">
        <f aca="false">IF(OR(B37="",G37=0),"",(G37-J37)/G37)</f>
        <v/>
      </c>
      <c r="L37" s="35" t="str">
        <f aca="false">IF(B37="","",SUMIFS(Production!$E$7:$E$204,Production!$C$7:$C$204,B37,Production!$G$7:$G$204,"Done"))</f>
        <v/>
      </c>
      <c r="M37" s="35" t="str">
        <f aca="false">IF(B37="","",SUMIFS(Sales!$E$7:$E$504,Sales!$C$7:$C$504,B37))</f>
        <v/>
      </c>
      <c r="N37" s="35" t="str">
        <f aca="false">IF(B37="","",H37+L37-M37)</f>
        <v/>
      </c>
      <c r="O37" s="35" t="str">
        <f aca="false">IF(B37="","",SUMIFS(Sales!$E$7:$E$504,Sales!$C$7:$C$504,B37,Sales!$B$7:$B$504,"&gt;="&amp;Settings!$C$10,Sales!$B$7:$B$504,"&lt;="&amp;Settings!$C$11))</f>
        <v/>
      </c>
      <c r="P37" s="36" t="str">
        <f aca="false">IF(OR(B37="",O37=0),"",MAX(N37,0)/(O37/MAX(1,Settings!$C$11-Settings!$C$10)))</f>
        <v/>
      </c>
      <c r="Q37" s="37" t="str">
        <f aca="false">IF(B37="","",IF(N37&lt;=0,"Out of stock",IF(N37&lt;=I37,"Restock","OK")))</f>
        <v/>
      </c>
      <c r="R37" s="33" t="str">
        <f aca="false">IF(B37="","",MAX(N37,0)*J37)</f>
        <v/>
      </c>
      <c r="S37" s="1"/>
    </row>
    <row r="38" customFormat="false" ht="21.75" hidden="false" customHeight="true" outlineLevel="0" collapsed="false">
      <c r="A38" s="1"/>
      <c r="B38" s="31"/>
      <c r="C38" s="31"/>
      <c r="D38" s="31"/>
      <c r="E38" s="32"/>
      <c r="F38" s="31"/>
      <c r="G38" s="32"/>
      <c r="H38" s="31"/>
      <c r="I38" s="31"/>
      <c r="J38" s="33" t="str">
        <f aca="false">IF(B38="","",E38+F38/60*Settings!$C$8)</f>
        <v/>
      </c>
      <c r="K38" s="34" t="str">
        <f aca="false">IF(OR(B38="",G38=0),"",(G38-J38)/G38)</f>
        <v/>
      </c>
      <c r="L38" s="35" t="str">
        <f aca="false">IF(B38="","",SUMIFS(Production!$E$7:$E$204,Production!$C$7:$C$204,B38,Production!$G$7:$G$204,"Done"))</f>
        <v/>
      </c>
      <c r="M38" s="35" t="str">
        <f aca="false">IF(B38="","",SUMIFS(Sales!$E$7:$E$504,Sales!$C$7:$C$504,B38))</f>
        <v/>
      </c>
      <c r="N38" s="35" t="str">
        <f aca="false">IF(B38="","",H38+L38-M38)</f>
        <v/>
      </c>
      <c r="O38" s="35" t="str">
        <f aca="false">IF(B38="","",SUMIFS(Sales!$E$7:$E$504,Sales!$C$7:$C$504,B38,Sales!$B$7:$B$504,"&gt;="&amp;Settings!$C$10,Sales!$B$7:$B$504,"&lt;="&amp;Settings!$C$11))</f>
        <v/>
      </c>
      <c r="P38" s="36" t="str">
        <f aca="false">IF(OR(B38="",O38=0),"",MAX(N38,0)/(O38/MAX(1,Settings!$C$11-Settings!$C$10)))</f>
        <v/>
      </c>
      <c r="Q38" s="37" t="str">
        <f aca="false">IF(B38="","",IF(N38&lt;=0,"Out of stock",IF(N38&lt;=I38,"Restock","OK")))</f>
        <v/>
      </c>
      <c r="R38" s="33" t="str">
        <f aca="false">IF(B38="","",MAX(N38,0)*J38)</f>
        <v/>
      </c>
      <c r="S38" s="1"/>
    </row>
    <row r="39" customFormat="false" ht="21.75" hidden="false" customHeight="true" outlineLevel="0" collapsed="false">
      <c r="A39" s="1"/>
      <c r="B39" s="31"/>
      <c r="C39" s="31"/>
      <c r="D39" s="31"/>
      <c r="E39" s="32"/>
      <c r="F39" s="31"/>
      <c r="G39" s="32"/>
      <c r="H39" s="31"/>
      <c r="I39" s="31"/>
      <c r="J39" s="33" t="str">
        <f aca="false">IF(B39="","",E39+F39/60*Settings!$C$8)</f>
        <v/>
      </c>
      <c r="K39" s="34" t="str">
        <f aca="false">IF(OR(B39="",G39=0),"",(G39-J39)/G39)</f>
        <v/>
      </c>
      <c r="L39" s="35" t="str">
        <f aca="false">IF(B39="","",SUMIFS(Production!$E$7:$E$204,Production!$C$7:$C$204,B39,Production!$G$7:$G$204,"Done"))</f>
        <v/>
      </c>
      <c r="M39" s="35" t="str">
        <f aca="false">IF(B39="","",SUMIFS(Sales!$E$7:$E$504,Sales!$C$7:$C$504,B39))</f>
        <v/>
      </c>
      <c r="N39" s="35" t="str">
        <f aca="false">IF(B39="","",H39+L39-M39)</f>
        <v/>
      </c>
      <c r="O39" s="35" t="str">
        <f aca="false">IF(B39="","",SUMIFS(Sales!$E$7:$E$504,Sales!$C$7:$C$504,B39,Sales!$B$7:$B$504,"&gt;="&amp;Settings!$C$10,Sales!$B$7:$B$504,"&lt;="&amp;Settings!$C$11))</f>
        <v/>
      </c>
      <c r="P39" s="36" t="str">
        <f aca="false">IF(OR(B39="",O39=0),"",MAX(N39,0)/(O39/MAX(1,Settings!$C$11-Settings!$C$10)))</f>
        <v/>
      </c>
      <c r="Q39" s="37" t="str">
        <f aca="false">IF(B39="","",IF(N39&lt;=0,"Out of stock",IF(N39&lt;=I39,"Restock","OK")))</f>
        <v/>
      </c>
      <c r="R39" s="33" t="str">
        <f aca="false">IF(B39="","",MAX(N39,0)*J39)</f>
        <v/>
      </c>
      <c r="S39" s="1"/>
    </row>
    <row r="40" customFormat="false" ht="21.75" hidden="false" customHeight="true" outlineLevel="0" collapsed="false">
      <c r="A40" s="1"/>
      <c r="B40" s="31"/>
      <c r="C40" s="31"/>
      <c r="D40" s="31"/>
      <c r="E40" s="32"/>
      <c r="F40" s="31"/>
      <c r="G40" s="32"/>
      <c r="H40" s="31"/>
      <c r="I40" s="31"/>
      <c r="J40" s="33" t="str">
        <f aca="false">IF(B40="","",E40+F40/60*Settings!$C$8)</f>
        <v/>
      </c>
      <c r="K40" s="34" t="str">
        <f aca="false">IF(OR(B40="",G40=0),"",(G40-J40)/G40)</f>
        <v/>
      </c>
      <c r="L40" s="35" t="str">
        <f aca="false">IF(B40="","",SUMIFS(Production!$E$7:$E$204,Production!$C$7:$C$204,B40,Production!$G$7:$G$204,"Done"))</f>
        <v/>
      </c>
      <c r="M40" s="35" t="str">
        <f aca="false">IF(B40="","",SUMIFS(Sales!$E$7:$E$504,Sales!$C$7:$C$504,B40))</f>
        <v/>
      </c>
      <c r="N40" s="35" t="str">
        <f aca="false">IF(B40="","",H40+L40-M40)</f>
        <v/>
      </c>
      <c r="O40" s="35" t="str">
        <f aca="false">IF(B40="","",SUMIFS(Sales!$E$7:$E$504,Sales!$C$7:$C$504,B40,Sales!$B$7:$B$504,"&gt;="&amp;Settings!$C$10,Sales!$B$7:$B$504,"&lt;="&amp;Settings!$C$11))</f>
        <v/>
      </c>
      <c r="P40" s="36" t="str">
        <f aca="false">IF(OR(B40="",O40=0),"",MAX(N40,0)/(O40/MAX(1,Settings!$C$11-Settings!$C$10)))</f>
        <v/>
      </c>
      <c r="Q40" s="37" t="str">
        <f aca="false">IF(B40="","",IF(N40&lt;=0,"Out of stock",IF(N40&lt;=I40,"Restock","OK")))</f>
        <v/>
      </c>
      <c r="R40" s="33" t="str">
        <f aca="false">IF(B40="","",MAX(N40,0)*J40)</f>
        <v/>
      </c>
      <c r="S40" s="1"/>
    </row>
    <row r="41" customFormat="false" ht="21.75" hidden="false" customHeight="true" outlineLevel="0" collapsed="false">
      <c r="A41" s="1"/>
      <c r="B41" s="31"/>
      <c r="C41" s="31"/>
      <c r="D41" s="31"/>
      <c r="E41" s="32"/>
      <c r="F41" s="31"/>
      <c r="G41" s="32"/>
      <c r="H41" s="31"/>
      <c r="I41" s="31"/>
      <c r="J41" s="33" t="str">
        <f aca="false">IF(B41="","",E41+F41/60*Settings!$C$8)</f>
        <v/>
      </c>
      <c r="K41" s="34" t="str">
        <f aca="false">IF(OR(B41="",G41=0),"",(G41-J41)/G41)</f>
        <v/>
      </c>
      <c r="L41" s="35" t="str">
        <f aca="false">IF(B41="","",SUMIFS(Production!$E$7:$E$204,Production!$C$7:$C$204,B41,Production!$G$7:$G$204,"Done"))</f>
        <v/>
      </c>
      <c r="M41" s="35" t="str">
        <f aca="false">IF(B41="","",SUMIFS(Sales!$E$7:$E$504,Sales!$C$7:$C$504,B41))</f>
        <v/>
      </c>
      <c r="N41" s="35" t="str">
        <f aca="false">IF(B41="","",H41+L41-M41)</f>
        <v/>
      </c>
      <c r="O41" s="35" t="str">
        <f aca="false">IF(B41="","",SUMIFS(Sales!$E$7:$E$504,Sales!$C$7:$C$504,B41,Sales!$B$7:$B$504,"&gt;="&amp;Settings!$C$10,Sales!$B$7:$B$504,"&lt;="&amp;Settings!$C$11))</f>
        <v/>
      </c>
      <c r="P41" s="36" t="str">
        <f aca="false">IF(OR(B41="",O41=0),"",MAX(N41,0)/(O41/MAX(1,Settings!$C$11-Settings!$C$10)))</f>
        <v/>
      </c>
      <c r="Q41" s="37" t="str">
        <f aca="false">IF(B41="","",IF(N41&lt;=0,"Out of stock",IF(N41&lt;=I41,"Restock","OK")))</f>
        <v/>
      </c>
      <c r="R41" s="33" t="str">
        <f aca="false">IF(B41="","",MAX(N41,0)*J41)</f>
        <v/>
      </c>
      <c r="S41" s="1"/>
    </row>
    <row r="42" customFormat="false" ht="21.75" hidden="false" customHeight="true" outlineLevel="0" collapsed="false">
      <c r="A42" s="1"/>
      <c r="B42" s="31"/>
      <c r="C42" s="31"/>
      <c r="D42" s="31"/>
      <c r="E42" s="32"/>
      <c r="F42" s="31"/>
      <c r="G42" s="32"/>
      <c r="H42" s="31"/>
      <c r="I42" s="31"/>
      <c r="J42" s="33" t="str">
        <f aca="false">IF(B42="","",E42+F42/60*Settings!$C$8)</f>
        <v/>
      </c>
      <c r="K42" s="34" t="str">
        <f aca="false">IF(OR(B42="",G42=0),"",(G42-J42)/G42)</f>
        <v/>
      </c>
      <c r="L42" s="35" t="str">
        <f aca="false">IF(B42="","",SUMIFS(Production!$E$7:$E$204,Production!$C$7:$C$204,B42,Production!$G$7:$G$204,"Done"))</f>
        <v/>
      </c>
      <c r="M42" s="35" t="str">
        <f aca="false">IF(B42="","",SUMIFS(Sales!$E$7:$E$504,Sales!$C$7:$C$504,B42))</f>
        <v/>
      </c>
      <c r="N42" s="35" t="str">
        <f aca="false">IF(B42="","",H42+L42-M42)</f>
        <v/>
      </c>
      <c r="O42" s="35" t="str">
        <f aca="false">IF(B42="","",SUMIFS(Sales!$E$7:$E$504,Sales!$C$7:$C$504,B42,Sales!$B$7:$B$504,"&gt;="&amp;Settings!$C$10,Sales!$B$7:$B$504,"&lt;="&amp;Settings!$C$11))</f>
        <v/>
      </c>
      <c r="P42" s="36" t="str">
        <f aca="false">IF(OR(B42="",O42=0),"",MAX(N42,0)/(O42/MAX(1,Settings!$C$11-Settings!$C$10)))</f>
        <v/>
      </c>
      <c r="Q42" s="37" t="str">
        <f aca="false">IF(B42="","",IF(N42&lt;=0,"Out of stock",IF(N42&lt;=I42,"Restock","OK")))</f>
        <v/>
      </c>
      <c r="R42" s="33" t="str">
        <f aca="false">IF(B42="","",MAX(N42,0)*J42)</f>
        <v/>
      </c>
      <c r="S42" s="1"/>
    </row>
    <row r="43" customFormat="false" ht="21.75" hidden="false" customHeight="true" outlineLevel="0" collapsed="false">
      <c r="A43" s="1"/>
      <c r="B43" s="31"/>
      <c r="C43" s="31"/>
      <c r="D43" s="31"/>
      <c r="E43" s="32"/>
      <c r="F43" s="31"/>
      <c r="G43" s="32"/>
      <c r="H43" s="31"/>
      <c r="I43" s="31"/>
      <c r="J43" s="33" t="str">
        <f aca="false">IF(B43="","",E43+F43/60*Settings!$C$8)</f>
        <v/>
      </c>
      <c r="K43" s="34" t="str">
        <f aca="false">IF(OR(B43="",G43=0),"",(G43-J43)/G43)</f>
        <v/>
      </c>
      <c r="L43" s="35" t="str">
        <f aca="false">IF(B43="","",SUMIFS(Production!$E$7:$E$204,Production!$C$7:$C$204,B43,Production!$G$7:$G$204,"Done"))</f>
        <v/>
      </c>
      <c r="M43" s="35" t="str">
        <f aca="false">IF(B43="","",SUMIFS(Sales!$E$7:$E$504,Sales!$C$7:$C$504,B43))</f>
        <v/>
      </c>
      <c r="N43" s="35" t="str">
        <f aca="false">IF(B43="","",H43+L43-M43)</f>
        <v/>
      </c>
      <c r="O43" s="35" t="str">
        <f aca="false">IF(B43="","",SUMIFS(Sales!$E$7:$E$504,Sales!$C$7:$C$504,B43,Sales!$B$7:$B$504,"&gt;="&amp;Settings!$C$10,Sales!$B$7:$B$504,"&lt;="&amp;Settings!$C$11))</f>
        <v/>
      </c>
      <c r="P43" s="36" t="str">
        <f aca="false">IF(OR(B43="",O43=0),"",MAX(N43,0)/(O43/MAX(1,Settings!$C$11-Settings!$C$10)))</f>
        <v/>
      </c>
      <c r="Q43" s="37" t="str">
        <f aca="false">IF(B43="","",IF(N43&lt;=0,"Out of stock",IF(N43&lt;=I43,"Restock","OK")))</f>
        <v/>
      </c>
      <c r="R43" s="33" t="str">
        <f aca="false">IF(B43="","",MAX(N43,0)*J43)</f>
        <v/>
      </c>
      <c r="S43" s="1"/>
    </row>
    <row r="44" customFormat="false" ht="21.75" hidden="false" customHeight="true" outlineLevel="0" collapsed="false">
      <c r="A44" s="1"/>
      <c r="B44" s="31"/>
      <c r="C44" s="31"/>
      <c r="D44" s="31"/>
      <c r="E44" s="32"/>
      <c r="F44" s="31"/>
      <c r="G44" s="32"/>
      <c r="H44" s="31"/>
      <c r="I44" s="31"/>
      <c r="J44" s="33" t="str">
        <f aca="false">IF(B44="","",E44+F44/60*Settings!$C$8)</f>
        <v/>
      </c>
      <c r="K44" s="34" t="str">
        <f aca="false">IF(OR(B44="",G44=0),"",(G44-J44)/G44)</f>
        <v/>
      </c>
      <c r="L44" s="35" t="str">
        <f aca="false">IF(B44="","",SUMIFS(Production!$E$7:$E$204,Production!$C$7:$C$204,B44,Production!$G$7:$G$204,"Done"))</f>
        <v/>
      </c>
      <c r="M44" s="35" t="str">
        <f aca="false">IF(B44="","",SUMIFS(Sales!$E$7:$E$504,Sales!$C$7:$C$504,B44))</f>
        <v/>
      </c>
      <c r="N44" s="35" t="str">
        <f aca="false">IF(B44="","",H44+L44-M44)</f>
        <v/>
      </c>
      <c r="O44" s="35" t="str">
        <f aca="false">IF(B44="","",SUMIFS(Sales!$E$7:$E$504,Sales!$C$7:$C$504,B44,Sales!$B$7:$B$504,"&gt;="&amp;Settings!$C$10,Sales!$B$7:$B$504,"&lt;="&amp;Settings!$C$11))</f>
        <v/>
      </c>
      <c r="P44" s="36" t="str">
        <f aca="false">IF(OR(B44="",O44=0),"",MAX(N44,0)/(O44/MAX(1,Settings!$C$11-Settings!$C$10)))</f>
        <v/>
      </c>
      <c r="Q44" s="37" t="str">
        <f aca="false">IF(B44="","",IF(N44&lt;=0,"Out of stock",IF(N44&lt;=I44,"Restock","OK")))</f>
        <v/>
      </c>
      <c r="R44" s="33" t="str">
        <f aca="false">IF(B44="","",MAX(N44,0)*J44)</f>
        <v/>
      </c>
      <c r="S44" s="1"/>
    </row>
    <row r="45" customFormat="false" ht="21.75" hidden="false" customHeight="true" outlineLevel="0" collapsed="false">
      <c r="A45" s="1"/>
      <c r="B45" s="31"/>
      <c r="C45" s="31"/>
      <c r="D45" s="31"/>
      <c r="E45" s="32"/>
      <c r="F45" s="31"/>
      <c r="G45" s="32"/>
      <c r="H45" s="31"/>
      <c r="I45" s="31"/>
      <c r="J45" s="33" t="str">
        <f aca="false">IF(B45="","",E45+F45/60*Settings!$C$8)</f>
        <v/>
      </c>
      <c r="K45" s="34" t="str">
        <f aca="false">IF(OR(B45="",G45=0),"",(G45-J45)/G45)</f>
        <v/>
      </c>
      <c r="L45" s="35" t="str">
        <f aca="false">IF(B45="","",SUMIFS(Production!$E$7:$E$204,Production!$C$7:$C$204,B45,Production!$G$7:$G$204,"Done"))</f>
        <v/>
      </c>
      <c r="M45" s="35" t="str">
        <f aca="false">IF(B45="","",SUMIFS(Sales!$E$7:$E$504,Sales!$C$7:$C$504,B45))</f>
        <v/>
      </c>
      <c r="N45" s="35" t="str">
        <f aca="false">IF(B45="","",H45+L45-M45)</f>
        <v/>
      </c>
      <c r="O45" s="35" t="str">
        <f aca="false">IF(B45="","",SUMIFS(Sales!$E$7:$E$504,Sales!$C$7:$C$504,B45,Sales!$B$7:$B$504,"&gt;="&amp;Settings!$C$10,Sales!$B$7:$B$504,"&lt;="&amp;Settings!$C$11))</f>
        <v/>
      </c>
      <c r="P45" s="36" t="str">
        <f aca="false">IF(OR(B45="",O45=0),"",MAX(N45,0)/(O45/MAX(1,Settings!$C$11-Settings!$C$10)))</f>
        <v/>
      </c>
      <c r="Q45" s="37" t="str">
        <f aca="false">IF(B45="","",IF(N45&lt;=0,"Out of stock",IF(N45&lt;=I45,"Restock","OK")))</f>
        <v/>
      </c>
      <c r="R45" s="33" t="str">
        <f aca="false">IF(B45="","",MAX(N45,0)*J45)</f>
        <v/>
      </c>
      <c r="S45" s="1"/>
    </row>
    <row r="46" customFormat="false" ht="21.75" hidden="false" customHeight="true" outlineLevel="0" collapsed="false">
      <c r="A46" s="1"/>
      <c r="B46" s="31"/>
      <c r="C46" s="31"/>
      <c r="D46" s="31"/>
      <c r="E46" s="32"/>
      <c r="F46" s="31"/>
      <c r="G46" s="32"/>
      <c r="H46" s="31"/>
      <c r="I46" s="31"/>
      <c r="J46" s="33" t="str">
        <f aca="false">IF(B46="","",E46+F46/60*Settings!$C$8)</f>
        <v/>
      </c>
      <c r="K46" s="34" t="str">
        <f aca="false">IF(OR(B46="",G46=0),"",(G46-J46)/G46)</f>
        <v/>
      </c>
      <c r="L46" s="35" t="str">
        <f aca="false">IF(B46="","",SUMIFS(Production!$E$7:$E$204,Production!$C$7:$C$204,B46,Production!$G$7:$G$204,"Done"))</f>
        <v/>
      </c>
      <c r="M46" s="35" t="str">
        <f aca="false">IF(B46="","",SUMIFS(Sales!$E$7:$E$504,Sales!$C$7:$C$504,B46))</f>
        <v/>
      </c>
      <c r="N46" s="35" t="str">
        <f aca="false">IF(B46="","",H46+L46-M46)</f>
        <v/>
      </c>
      <c r="O46" s="35" t="str">
        <f aca="false">IF(B46="","",SUMIFS(Sales!$E$7:$E$504,Sales!$C$7:$C$504,B46,Sales!$B$7:$B$504,"&gt;="&amp;Settings!$C$10,Sales!$B$7:$B$504,"&lt;="&amp;Settings!$C$11))</f>
        <v/>
      </c>
      <c r="P46" s="36" t="str">
        <f aca="false">IF(OR(B46="",O46=0),"",MAX(N46,0)/(O46/MAX(1,Settings!$C$11-Settings!$C$10)))</f>
        <v/>
      </c>
      <c r="Q46" s="37" t="str">
        <f aca="false">IF(B46="","",IF(N46&lt;=0,"Out of stock",IF(N46&lt;=I46,"Restock","OK")))</f>
        <v/>
      </c>
      <c r="R46" s="33" t="str">
        <f aca="false">IF(B46="","",MAX(N46,0)*J46)</f>
        <v/>
      </c>
      <c r="S46" s="1"/>
    </row>
    <row r="47" customFormat="false" ht="21.75" hidden="false" customHeight="true" outlineLevel="0" collapsed="false">
      <c r="A47" s="1"/>
      <c r="B47" s="31"/>
      <c r="C47" s="31"/>
      <c r="D47" s="31"/>
      <c r="E47" s="32"/>
      <c r="F47" s="31"/>
      <c r="G47" s="32"/>
      <c r="H47" s="31"/>
      <c r="I47" s="31"/>
      <c r="J47" s="33" t="str">
        <f aca="false">IF(B47="","",E47+F47/60*Settings!$C$8)</f>
        <v/>
      </c>
      <c r="K47" s="34" t="str">
        <f aca="false">IF(OR(B47="",G47=0),"",(G47-J47)/G47)</f>
        <v/>
      </c>
      <c r="L47" s="35" t="str">
        <f aca="false">IF(B47="","",SUMIFS(Production!$E$7:$E$204,Production!$C$7:$C$204,B47,Production!$G$7:$G$204,"Done"))</f>
        <v/>
      </c>
      <c r="M47" s="35" t="str">
        <f aca="false">IF(B47="","",SUMIFS(Sales!$E$7:$E$504,Sales!$C$7:$C$504,B47))</f>
        <v/>
      </c>
      <c r="N47" s="35" t="str">
        <f aca="false">IF(B47="","",H47+L47-M47)</f>
        <v/>
      </c>
      <c r="O47" s="35" t="str">
        <f aca="false">IF(B47="","",SUMIFS(Sales!$E$7:$E$504,Sales!$C$7:$C$504,B47,Sales!$B$7:$B$504,"&gt;="&amp;Settings!$C$10,Sales!$B$7:$B$504,"&lt;="&amp;Settings!$C$11))</f>
        <v/>
      </c>
      <c r="P47" s="36" t="str">
        <f aca="false">IF(OR(B47="",O47=0),"",MAX(N47,0)/(O47/MAX(1,Settings!$C$11-Settings!$C$10)))</f>
        <v/>
      </c>
      <c r="Q47" s="37" t="str">
        <f aca="false">IF(B47="","",IF(N47&lt;=0,"Out of stock",IF(N47&lt;=I47,"Restock","OK")))</f>
        <v/>
      </c>
      <c r="R47" s="33" t="str">
        <f aca="false">IF(B47="","",MAX(N47,0)*J47)</f>
        <v/>
      </c>
      <c r="S47" s="1"/>
    </row>
    <row r="48" customFormat="false" ht="21.75" hidden="false" customHeight="true" outlineLevel="0" collapsed="false">
      <c r="A48" s="1"/>
      <c r="B48" s="31"/>
      <c r="C48" s="31"/>
      <c r="D48" s="31"/>
      <c r="E48" s="32"/>
      <c r="F48" s="31"/>
      <c r="G48" s="32"/>
      <c r="H48" s="31"/>
      <c r="I48" s="31"/>
      <c r="J48" s="33" t="str">
        <f aca="false">IF(B48="","",E48+F48/60*Settings!$C$8)</f>
        <v/>
      </c>
      <c r="K48" s="34" t="str">
        <f aca="false">IF(OR(B48="",G48=0),"",(G48-J48)/G48)</f>
        <v/>
      </c>
      <c r="L48" s="35" t="str">
        <f aca="false">IF(B48="","",SUMIFS(Production!$E$7:$E$204,Production!$C$7:$C$204,B48,Production!$G$7:$G$204,"Done"))</f>
        <v/>
      </c>
      <c r="M48" s="35" t="str">
        <f aca="false">IF(B48="","",SUMIFS(Sales!$E$7:$E$504,Sales!$C$7:$C$504,B48))</f>
        <v/>
      </c>
      <c r="N48" s="35" t="str">
        <f aca="false">IF(B48="","",H48+L48-M48)</f>
        <v/>
      </c>
      <c r="O48" s="35" t="str">
        <f aca="false">IF(B48="","",SUMIFS(Sales!$E$7:$E$504,Sales!$C$7:$C$504,B48,Sales!$B$7:$B$504,"&gt;="&amp;Settings!$C$10,Sales!$B$7:$B$504,"&lt;="&amp;Settings!$C$11))</f>
        <v/>
      </c>
      <c r="P48" s="36" t="str">
        <f aca="false">IF(OR(B48="",O48=0),"",MAX(N48,0)/(O48/MAX(1,Settings!$C$11-Settings!$C$10)))</f>
        <v/>
      </c>
      <c r="Q48" s="37" t="str">
        <f aca="false">IF(B48="","",IF(N48&lt;=0,"Out of stock",IF(N48&lt;=I48,"Restock","OK")))</f>
        <v/>
      </c>
      <c r="R48" s="33" t="str">
        <f aca="false">IF(B48="","",MAX(N48,0)*J48)</f>
        <v/>
      </c>
      <c r="S48" s="1"/>
    </row>
    <row r="49" customFormat="false" ht="21.75" hidden="false" customHeight="true" outlineLevel="0" collapsed="false">
      <c r="A49" s="1"/>
      <c r="B49" s="31"/>
      <c r="C49" s="31"/>
      <c r="D49" s="31"/>
      <c r="E49" s="32"/>
      <c r="F49" s="31"/>
      <c r="G49" s="32"/>
      <c r="H49" s="31"/>
      <c r="I49" s="31"/>
      <c r="J49" s="33" t="str">
        <f aca="false">IF(B49="","",E49+F49/60*Settings!$C$8)</f>
        <v/>
      </c>
      <c r="K49" s="34" t="str">
        <f aca="false">IF(OR(B49="",G49=0),"",(G49-J49)/G49)</f>
        <v/>
      </c>
      <c r="L49" s="35" t="str">
        <f aca="false">IF(B49="","",SUMIFS(Production!$E$7:$E$204,Production!$C$7:$C$204,B49,Production!$G$7:$G$204,"Done"))</f>
        <v/>
      </c>
      <c r="M49" s="35" t="str">
        <f aca="false">IF(B49="","",SUMIFS(Sales!$E$7:$E$504,Sales!$C$7:$C$504,B49))</f>
        <v/>
      </c>
      <c r="N49" s="35" t="str">
        <f aca="false">IF(B49="","",H49+L49-M49)</f>
        <v/>
      </c>
      <c r="O49" s="35" t="str">
        <f aca="false">IF(B49="","",SUMIFS(Sales!$E$7:$E$504,Sales!$C$7:$C$504,B49,Sales!$B$7:$B$504,"&gt;="&amp;Settings!$C$10,Sales!$B$7:$B$504,"&lt;="&amp;Settings!$C$11))</f>
        <v/>
      </c>
      <c r="P49" s="36" t="str">
        <f aca="false">IF(OR(B49="",O49=0),"",MAX(N49,0)/(O49/MAX(1,Settings!$C$11-Settings!$C$10)))</f>
        <v/>
      </c>
      <c r="Q49" s="37" t="str">
        <f aca="false">IF(B49="","",IF(N49&lt;=0,"Out of stock",IF(N49&lt;=I49,"Restock","OK")))</f>
        <v/>
      </c>
      <c r="R49" s="33" t="str">
        <f aca="false">IF(B49="","",MAX(N49,0)*J49)</f>
        <v/>
      </c>
      <c r="S49" s="1"/>
    </row>
    <row r="50" customFormat="false" ht="21.75" hidden="false" customHeight="true" outlineLevel="0" collapsed="false">
      <c r="A50" s="1"/>
      <c r="B50" s="31"/>
      <c r="C50" s="31"/>
      <c r="D50" s="31"/>
      <c r="E50" s="32"/>
      <c r="F50" s="31"/>
      <c r="G50" s="32"/>
      <c r="H50" s="31"/>
      <c r="I50" s="31"/>
      <c r="J50" s="33" t="str">
        <f aca="false">IF(B50="","",E50+F50/60*Settings!$C$8)</f>
        <v/>
      </c>
      <c r="K50" s="34" t="str">
        <f aca="false">IF(OR(B50="",G50=0),"",(G50-J50)/G50)</f>
        <v/>
      </c>
      <c r="L50" s="35" t="str">
        <f aca="false">IF(B50="","",SUMIFS(Production!$E$7:$E$204,Production!$C$7:$C$204,B50,Production!$G$7:$G$204,"Done"))</f>
        <v/>
      </c>
      <c r="M50" s="35" t="str">
        <f aca="false">IF(B50="","",SUMIFS(Sales!$E$7:$E$504,Sales!$C$7:$C$504,B50))</f>
        <v/>
      </c>
      <c r="N50" s="35" t="str">
        <f aca="false">IF(B50="","",H50+L50-M50)</f>
        <v/>
      </c>
      <c r="O50" s="35" t="str">
        <f aca="false">IF(B50="","",SUMIFS(Sales!$E$7:$E$504,Sales!$C$7:$C$504,B50,Sales!$B$7:$B$504,"&gt;="&amp;Settings!$C$10,Sales!$B$7:$B$504,"&lt;="&amp;Settings!$C$11))</f>
        <v/>
      </c>
      <c r="P50" s="36" t="str">
        <f aca="false">IF(OR(B50="",O50=0),"",MAX(N50,0)/(O50/MAX(1,Settings!$C$11-Settings!$C$10)))</f>
        <v/>
      </c>
      <c r="Q50" s="37" t="str">
        <f aca="false">IF(B50="","",IF(N50&lt;=0,"Out of stock",IF(N50&lt;=I50,"Restock","OK")))</f>
        <v/>
      </c>
      <c r="R50" s="33" t="str">
        <f aca="false">IF(B50="","",MAX(N50,0)*J50)</f>
        <v/>
      </c>
      <c r="S50" s="1"/>
    </row>
    <row r="51" customFormat="false" ht="21.75" hidden="false" customHeight="true" outlineLevel="0" collapsed="false">
      <c r="A51" s="1"/>
      <c r="B51" s="31"/>
      <c r="C51" s="31"/>
      <c r="D51" s="31"/>
      <c r="E51" s="32"/>
      <c r="F51" s="31"/>
      <c r="G51" s="32"/>
      <c r="H51" s="31"/>
      <c r="I51" s="31"/>
      <c r="J51" s="33" t="str">
        <f aca="false">IF(B51="","",E51+F51/60*Settings!$C$8)</f>
        <v/>
      </c>
      <c r="K51" s="34" t="str">
        <f aca="false">IF(OR(B51="",G51=0),"",(G51-J51)/G51)</f>
        <v/>
      </c>
      <c r="L51" s="35" t="str">
        <f aca="false">IF(B51="","",SUMIFS(Production!$E$7:$E$204,Production!$C$7:$C$204,B51,Production!$G$7:$G$204,"Done"))</f>
        <v/>
      </c>
      <c r="M51" s="35" t="str">
        <f aca="false">IF(B51="","",SUMIFS(Sales!$E$7:$E$504,Sales!$C$7:$C$504,B51))</f>
        <v/>
      </c>
      <c r="N51" s="35" t="str">
        <f aca="false">IF(B51="","",H51+L51-M51)</f>
        <v/>
      </c>
      <c r="O51" s="35" t="str">
        <f aca="false">IF(B51="","",SUMIFS(Sales!$E$7:$E$504,Sales!$C$7:$C$504,B51,Sales!$B$7:$B$504,"&gt;="&amp;Settings!$C$10,Sales!$B$7:$B$504,"&lt;="&amp;Settings!$C$11))</f>
        <v/>
      </c>
      <c r="P51" s="36" t="str">
        <f aca="false">IF(OR(B51="",O51=0),"",MAX(N51,0)/(O51/MAX(1,Settings!$C$11-Settings!$C$10)))</f>
        <v/>
      </c>
      <c r="Q51" s="37" t="str">
        <f aca="false">IF(B51="","",IF(N51&lt;=0,"Out of stock",IF(N51&lt;=I51,"Restock","OK")))</f>
        <v/>
      </c>
      <c r="R51" s="33" t="str">
        <f aca="false">IF(B51="","",MAX(N51,0)*J51)</f>
        <v/>
      </c>
      <c r="S51" s="1"/>
    </row>
    <row r="52" customFormat="false" ht="21.75" hidden="false" customHeight="true" outlineLevel="0" collapsed="false">
      <c r="A52" s="1"/>
      <c r="B52" s="31"/>
      <c r="C52" s="31"/>
      <c r="D52" s="31"/>
      <c r="E52" s="32"/>
      <c r="F52" s="31"/>
      <c r="G52" s="32"/>
      <c r="H52" s="31"/>
      <c r="I52" s="31"/>
      <c r="J52" s="33" t="str">
        <f aca="false">IF(B52="","",E52+F52/60*Settings!$C$8)</f>
        <v/>
      </c>
      <c r="K52" s="34" t="str">
        <f aca="false">IF(OR(B52="",G52=0),"",(G52-J52)/G52)</f>
        <v/>
      </c>
      <c r="L52" s="35" t="str">
        <f aca="false">IF(B52="","",SUMIFS(Production!$E$7:$E$204,Production!$C$7:$C$204,B52,Production!$G$7:$G$204,"Done"))</f>
        <v/>
      </c>
      <c r="M52" s="35" t="str">
        <f aca="false">IF(B52="","",SUMIFS(Sales!$E$7:$E$504,Sales!$C$7:$C$504,B52))</f>
        <v/>
      </c>
      <c r="N52" s="35" t="str">
        <f aca="false">IF(B52="","",H52+L52-M52)</f>
        <v/>
      </c>
      <c r="O52" s="35" t="str">
        <f aca="false">IF(B52="","",SUMIFS(Sales!$E$7:$E$504,Sales!$C$7:$C$504,B52,Sales!$B$7:$B$504,"&gt;="&amp;Settings!$C$10,Sales!$B$7:$B$504,"&lt;="&amp;Settings!$C$11))</f>
        <v/>
      </c>
      <c r="P52" s="36" t="str">
        <f aca="false">IF(OR(B52="",O52=0),"",MAX(N52,0)/(O52/MAX(1,Settings!$C$11-Settings!$C$10)))</f>
        <v/>
      </c>
      <c r="Q52" s="37" t="str">
        <f aca="false">IF(B52="","",IF(N52&lt;=0,"Out of stock",IF(N52&lt;=I52,"Restock","OK")))</f>
        <v/>
      </c>
      <c r="R52" s="33" t="str">
        <f aca="false">IF(B52="","",MAX(N52,0)*J52)</f>
        <v/>
      </c>
      <c r="S52" s="1"/>
    </row>
    <row r="53" customFormat="false" ht="21.75" hidden="false" customHeight="true" outlineLevel="0" collapsed="false">
      <c r="A53" s="1"/>
      <c r="B53" s="31"/>
      <c r="C53" s="31"/>
      <c r="D53" s="31"/>
      <c r="E53" s="32"/>
      <c r="F53" s="31"/>
      <c r="G53" s="32"/>
      <c r="H53" s="31"/>
      <c r="I53" s="31"/>
      <c r="J53" s="33" t="str">
        <f aca="false">IF(B53="","",E53+F53/60*Settings!$C$8)</f>
        <v/>
      </c>
      <c r="K53" s="34" t="str">
        <f aca="false">IF(OR(B53="",G53=0),"",(G53-J53)/G53)</f>
        <v/>
      </c>
      <c r="L53" s="35" t="str">
        <f aca="false">IF(B53="","",SUMIFS(Production!$E$7:$E$204,Production!$C$7:$C$204,B53,Production!$G$7:$G$204,"Done"))</f>
        <v/>
      </c>
      <c r="M53" s="35" t="str">
        <f aca="false">IF(B53="","",SUMIFS(Sales!$E$7:$E$504,Sales!$C$7:$C$504,B53))</f>
        <v/>
      </c>
      <c r="N53" s="35" t="str">
        <f aca="false">IF(B53="","",H53+L53-M53)</f>
        <v/>
      </c>
      <c r="O53" s="35" t="str">
        <f aca="false">IF(B53="","",SUMIFS(Sales!$E$7:$E$504,Sales!$C$7:$C$504,B53,Sales!$B$7:$B$504,"&gt;="&amp;Settings!$C$10,Sales!$B$7:$B$504,"&lt;="&amp;Settings!$C$11))</f>
        <v/>
      </c>
      <c r="P53" s="36" t="str">
        <f aca="false">IF(OR(B53="",O53=0),"",MAX(N53,0)/(O53/MAX(1,Settings!$C$11-Settings!$C$10)))</f>
        <v/>
      </c>
      <c r="Q53" s="37" t="str">
        <f aca="false">IF(B53="","",IF(N53&lt;=0,"Out of stock",IF(N53&lt;=I53,"Restock","OK")))</f>
        <v/>
      </c>
      <c r="R53" s="33" t="str">
        <f aca="false">IF(B53="","",MAX(N53,0)*J53)</f>
        <v/>
      </c>
      <c r="S53" s="1"/>
    </row>
    <row r="54" customFormat="false" ht="21.75" hidden="false" customHeight="true" outlineLevel="0" collapsed="false">
      <c r="A54" s="1"/>
      <c r="B54" s="31"/>
      <c r="C54" s="31"/>
      <c r="D54" s="31"/>
      <c r="E54" s="32"/>
      <c r="F54" s="31"/>
      <c r="G54" s="32"/>
      <c r="H54" s="31"/>
      <c r="I54" s="31"/>
      <c r="J54" s="33" t="str">
        <f aca="false">IF(B54="","",E54+F54/60*Settings!$C$8)</f>
        <v/>
      </c>
      <c r="K54" s="34" t="str">
        <f aca="false">IF(OR(B54="",G54=0),"",(G54-J54)/G54)</f>
        <v/>
      </c>
      <c r="L54" s="35" t="str">
        <f aca="false">IF(B54="","",SUMIFS(Production!$E$7:$E$204,Production!$C$7:$C$204,B54,Production!$G$7:$G$204,"Done"))</f>
        <v/>
      </c>
      <c r="M54" s="35" t="str">
        <f aca="false">IF(B54="","",SUMIFS(Sales!$E$7:$E$504,Sales!$C$7:$C$504,B54))</f>
        <v/>
      </c>
      <c r="N54" s="35" t="str">
        <f aca="false">IF(B54="","",H54+L54-M54)</f>
        <v/>
      </c>
      <c r="O54" s="35" t="str">
        <f aca="false">IF(B54="","",SUMIFS(Sales!$E$7:$E$504,Sales!$C$7:$C$504,B54,Sales!$B$7:$B$504,"&gt;="&amp;Settings!$C$10,Sales!$B$7:$B$504,"&lt;="&amp;Settings!$C$11))</f>
        <v/>
      </c>
      <c r="P54" s="36" t="str">
        <f aca="false">IF(OR(B54="",O54=0),"",MAX(N54,0)/(O54/MAX(1,Settings!$C$11-Settings!$C$10)))</f>
        <v/>
      </c>
      <c r="Q54" s="37" t="str">
        <f aca="false">IF(B54="","",IF(N54&lt;=0,"Out of stock",IF(N54&lt;=I54,"Restock","OK")))</f>
        <v/>
      </c>
      <c r="R54" s="33" t="str">
        <f aca="false">IF(B54="","",MAX(N54,0)*J54)</f>
        <v/>
      </c>
      <c r="S54" s="1"/>
    </row>
    <row r="55" customFormat="false" ht="21.75" hidden="false" customHeight="true" outlineLevel="0" collapsed="false">
      <c r="A55" s="1"/>
      <c r="B55" s="31"/>
      <c r="C55" s="31"/>
      <c r="D55" s="31"/>
      <c r="E55" s="32"/>
      <c r="F55" s="31"/>
      <c r="G55" s="32"/>
      <c r="H55" s="31"/>
      <c r="I55" s="31"/>
      <c r="J55" s="33" t="str">
        <f aca="false">IF(B55="","",E55+F55/60*Settings!$C$8)</f>
        <v/>
      </c>
      <c r="K55" s="34" t="str">
        <f aca="false">IF(OR(B55="",G55=0),"",(G55-J55)/G55)</f>
        <v/>
      </c>
      <c r="L55" s="35" t="str">
        <f aca="false">IF(B55="","",SUMIFS(Production!$E$7:$E$204,Production!$C$7:$C$204,B55,Production!$G$7:$G$204,"Done"))</f>
        <v/>
      </c>
      <c r="M55" s="35" t="str">
        <f aca="false">IF(B55="","",SUMIFS(Sales!$E$7:$E$504,Sales!$C$7:$C$504,B55))</f>
        <v/>
      </c>
      <c r="N55" s="35" t="str">
        <f aca="false">IF(B55="","",H55+L55-M55)</f>
        <v/>
      </c>
      <c r="O55" s="35" t="str">
        <f aca="false">IF(B55="","",SUMIFS(Sales!$E$7:$E$504,Sales!$C$7:$C$504,B55,Sales!$B$7:$B$504,"&gt;="&amp;Settings!$C$10,Sales!$B$7:$B$504,"&lt;="&amp;Settings!$C$11))</f>
        <v/>
      </c>
      <c r="P55" s="36" t="str">
        <f aca="false">IF(OR(B55="",O55=0),"",MAX(N55,0)/(O55/MAX(1,Settings!$C$11-Settings!$C$10)))</f>
        <v/>
      </c>
      <c r="Q55" s="37" t="str">
        <f aca="false">IF(B55="","",IF(N55&lt;=0,"Out of stock",IF(N55&lt;=I55,"Restock","OK")))</f>
        <v/>
      </c>
      <c r="R55" s="33" t="str">
        <f aca="false">IF(B55="","",MAX(N55,0)*J55)</f>
        <v/>
      </c>
      <c r="S55" s="1"/>
    </row>
    <row r="56" customFormat="false" ht="21.75" hidden="false" customHeight="true" outlineLevel="0" collapsed="false">
      <c r="A56" s="1"/>
      <c r="B56" s="31"/>
      <c r="C56" s="31"/>
      <c r="D56" s="31"/>
      <c r="E56" s="32"/>
      <c r="F56" s="31"/>
      <c r="G56" s="32"/>
      <c r="H56" s="31"/>
      <c r="I56" s="31"/>
      <c r="J56" s="33" t="str">
        <f aca="false">IF(B56="","",E56+F56/60*Settings!$C$8)</f>
        <v/>
      </c>
      <c r="K56" s="34" t="str">
        <f aca="false">IF(OR(B56="",G56=0),"",(G56-J56)/G56)</f>
        <v/>
      </c>
      <c r="L56" s="35" t="str">
        <f aca="false">IF(B56="","",SUMIFS(Production!$E$7:$E$204,Production!$C$7:$C$204,B56,Production!$G$7:$G$204,"Done"))</f>
        <v/>
      </c>
      <c r="M56" s="35" t="str">
        <f aca="false">IF(B56="","",SUMIFS(Sales!$E$7:$E$504,Sales!$C$7:$C$504,B56))</f>
        <v/>
      </c>
      <c r="N56" s="35" t="str">
        <f aca="false">IF(B56="","",H56+L56-M56)</f>
        <v/>
      </c>
      <c r="O56" s="35" t="str">
        <f aca="false">IF(B56="","",SUMIFS(Sales!$E$7:$E$504,Sales!$C$7:$C$504,B56,Sales!$B$7:$B$504,"&gt;="&amp;Settings!$C$10,Sales!$B$7:$B$504,"&lt;="&amp;Settings!$C$11))</f>
        <v/>
      </c>
      <c r="P56" s="36" t="str">
        <f aca="false">IF(OR(B56="",O56=0),"",MAX(N56,0)/(O56/MAX(1,Settings!$C$11-Settings!$C$10)))</f>
        <v/>
      </c>
      <c r="Q56" s="37" t="str">
        <f aca="false">IF(B56="","",IF(N56&lt;=0,"Out of stock",IF(N56&lt;=I56,"Restock","OK")))</f>
        <v/>
      </c>
      <c r="R56" s="33" t="str">
        <f aca="false">IF(B56="","",MAX(N56,0)*J56)</f>
        <v/>
      </c>
      <c r="S56" s="1"/>
    </row>
    <row r="57" customFormat="false" ht="21.75" hidden="false" customHeight="true" outlineLevel="0" collapsed="false">
      <c r="A57" s="1"/>
      <c r="B57" s="31"/>
      <c r="C57" s="31"/>
      <c r="D57" s="31"/>
      <c r="E57" s="32"/>
      <c r="F57" s="31"/>
      <c r="G57" s="32"/>
      <c r="H57" s="31"/>
      <c r="I57" s="31"/>
      <c r="J57" s="33" t="str">
        <f aca="false">IF(B57="","",E57+F57/60*Settings!$C$8)</f>
        <v/>
      </c>
      <c r="K57" s="34" t="str">
        <f aca="false">IF(OR(B57="",G57=0),"",(G57-J57)/G57)</f>
        <v/>
      </c>
      <c r="L57" s="35" t="str">
        <f aca="false">IF(B57="","",SUMIFS(Production!$E$7:$E$204,Production!$C$7:$C$204,B57,Production!$G$7:$G$204,"Done"))</f>
        <v/>
      </c>
      <c r="M57" s="35" t="str">
        <f aca="false">IF(B57="","",SUMIFS(Sales!$E$7:$E$504,Sales!$C$7:$C$504,B57))</f>
        <v/>
      </c>
      <c r="N57" s="35" t="str">
        <f aca="false">IF(B57="","",H57+L57-M57)</f>
        <v/>
      </c>
      <c r="O57" s="35" t="str">
        <f aca="false">IF(B57="","",SUMIFS(Sales!$E$7:$E$504,Sales!$C$7:$C$504,B57,Sales!$B$7:$B$504,"&gt;="&amp;Settings!$C$10,Sales!$B$7:$B$504,"&lt;="&amp;Settings!$C$11))</f>
        <v/>
      </c>
      <c r="P57" s="36" t="str">
        <f aca="false">IF(OR(B57="",O57=0),"",MAX(N57,0)/(O57/MAX(1,Settings!$C$11-Settings!$C$10)))</f>
        <v/>
      </c>
      <c r="Q57" s="37" t="str">
        <f aca="false">IF(B57="","",IF(N57&lt;=0,"Out of stock",IF(N57&lt;=I57,"Restock","OK")))</f>
        <v/>
      </c>
      <c r="R57" s="33" t="str">
        <f aca="false">IF(B57="","",MAX(N57,0)*J57)</f>
        <v/>
      </c>
      <c r="S57" s="1"/>
    </row>
    <row r="58" customFormat="false" ht="21.75" hidden="false" customHeight="true" outlineLevel="0" collapsed="false">
      <c r="A58" s="1"/>
      <c r="B58" s="31"/>
      <c r="C58" s="31"/>
      <c r="D58" s="31"/>
      <c r="E58" s="32"/>
      <c r="F58" s="31"/>
      <c r="G58" s="32"/>
      <c r="H58" s="31"/>
      <c r="I58" s="31"/>
      <c r="J58" s="33" t="str">
        <f aca="false">IF(B58="","",E58+F58/60*Settings!$C$8)</f>
        <v/>
      </c>
      <c r="K58" s="34" t="str">
        <f aca="false">IF(OR(B58="",G58=0),"",(G58-J58)/G58)</f>
        <v/>
      </c>
      <c r="L58" s="35" t="str">
        <f aca="false">IF(B58="","",SUMIFS(Production!$E$7:$E$204,Production!$C$7:$C$204,B58,Production!$G$7:$G$204,"Done"))</f>
        <v/>
      </c>
      <c r="M58" s="35" t="str">
        <f aca="false">IF(B58="","",SUMIFS(Sales!$E$7:$E$504,Sales!$C$7:$C$504,B58))</f>
        <v/>
      </c>
      <c r="N58" s="35" t="str">
        <f aca="false">IF(B58="","",H58+L58-M58)</f>
        <v/>
      </c>
      <c r="O58" s="35" t="str">
        <f aca="false">IF(B58="","",SUMIFS(Sales!$E$7:$E$504,Sales!$C$7:$C$504,B58,Sales!$B$7:$B$504,"&gt;="&amp;Settings!$C$10,Sales!$B$7:$B$504,"&lt;="&amp;Settings!$C$11))</f>
        <v/>
      </c>
      <c r="P58" s="36" t="str">
        <f aca="false">IF(OR(B58="",O58=0),"",MAX(N58,0)/(O58/MAX(1,Settings!$C$11-Settings!$C$10)))</f>
        <v/>
      </c>
      <c r="Q58" s="37" t="str">
        <f aca="false">IF(B58="","",IF(N58&lt;=0,"Out of stock",IF(N58&lt;=I58,"Restock","OK")))</f>
        <v/>
      </c>
      <c r="R58" s="33" t="str">
        <f aca="false">IF(B58="","",MAX(N58,0)*J58)</f>
        <v/>
      </c>
      <c r="S58" s="1"/>
    </row>
    <row r="59" customFormat="false" ht="21.75" hidden="false" customHeight="true" outlineLevel="0" collapsed="false">
      <c r="A59" s="1"/>
      <c r="B59" s="31"/>
      <c r="C59" s="31"/>
      <c r="D59" s="31"/>
      <c r="E59" s="32"/>
      <c r="F59" s="31"/>
      <c r="G59" s="32"/>
      <c r="H59" s="31"/>
      <c r="I59" s="31"/>
      <c r="J59" s="33" t="str">
        <f aca="false">IF(B59="","",E59+F59/60*Settings!$C$8)</f>
        <v/>
      </c>
      <c r="K59" s="34" t="str">
        <f aca="false">IF(OR(B59="",G59=0),"",(G59-J59)/G59)</f>
        <v/>
      </c>
      <c r="L59" s="35" t="str">
        <f aca="false">IF(B59="","",SUMIFS(Production!$E$7:$E$204,Production!$C$7:$C$204,B59,Production!$G$7:$G$204,"Done"))</f>
        <v/>
      </c>
      <c r="M59" s="35" t="str">
        <f aca="false">IF(B59="","",SUMIFS(Sales!$E$7:$E$504,Sales!$C$7:$C$504,B59))</f>
        <v/>
      </c>
      <c r="N59" s="35" t="str">
        <f aca="false">IF(B59="","",H59+L59-M59)</f>
        <v/>
      </c>
      <c r="O59" s="35" t="str">
        <f aca="false">IF(B59="","",SUMIFS(Sales!$E$7:$E$504,Sales!$C$7:$C$504,B59,Sales!$B$7:$B$504,"&gt;="&amp;Settings!$C$10,Sales!$B$7:$B$504,"&lt;="&amp;Settings!$C$11))</f>
        <v/>
      </c>
      <c r="P59" s="36" t="str">
        <f aca="false">IF(OR(B59="",O59=0),"",MAX(N59,0)/(O59/MAX(1,Settings!$C$11-Settings!$C$10)))</f>
        <v/>
      </c>
      <c r="Q59" s="37" t="str">
        <f aca="false">IF(B59="","",IF(N59&lt;=0,"Out of stock",IF(N59&lt;=I59,"Restock","OK")))</f>
        <v/>
      </c>
      <c r="R59" s="33" t="str">
        <f aca="false">IF(B59="","",MAX(N59,0)*J59)</f>
        <v/>
      </c>
      <c r="S59" s="1"/>
    </row>
    <row r="60" customFormat="false" ht="21.75" hidden="false" customHeight="true" outlineLevel="0" collapsed="false">
      <c r="A60" s="1"/>
      <c r="B60" s="31"/>
      <c r="C60" s="31"/>
      <c r="D60" s="31"/>
      <c r="E60" s="32"/>
      <c r="F60" s="31"/>
      <c r="G60" s="32"/>
      <c r="H60" s="31"/>
      <c r="I60" s="31"/>
      <c r="J60" s="33" t="str">
        <f aca="false">IF(B60="","",E60+F60/60*Settings!$C$8)</f>
        <v/>
      </c>
      <c r="K60" s="34" t="str">
        <f aca="false">IF(OR(B60="",G60=0),"",(G60-J60)/G60)</f>
        <v/>
      </c>
      <c r="L60" s="35" t="str">
        <f aca="false">IF(B60="","",SUMIFS(Production!$E$7:$E$204,Production!$C$7:$C$204,B60,Production!$G$7:$G$204,"Done"))</f>
        <v/>
      </c>
      <c r="M60" s="35" t="str">
        <f aca="false">IF(B60="","",SUMIFS(Sales!$E$7:$E$504,Sales!$C$7:$C$504,B60))</f>
        <v/>
      </c>
      <c r="N60" s="35" t="str">
        <f aca="false">IF(B60="","",H60+L60-M60)</f>
        <v/>
      </c>
      <c r="O60" s="35" t="str">
        <f aca="false">IF(B60="","",SUMIFS(Sales!$E$7:$E$504,Sales!$C$7:$C$504,B60,Sales!$B$7:$B$504,"&gt;="&amp;Settings!$C$10,Sales!$B$7:$B$504,"&lt;="&amp;Settings!$C$11))</f>
        <v/>
      </c>
      <c r="P60" s="36" t="str">
        <f aca="false">IF(OR(B60="",O60=0),"",MAX(N60,0)/(O60/MAX(1,Settings!$C$11-Settings!$C$10)))</f>
        <v/>
      </c>
      <c r="Q60" s="37" t="str">
        <f aca="false">IF(B60="","",IF(N60&lt;=0,"Out of stock",IF(N60&lt;=I60,"Restock","OK")))</f>
        <v/>
      </c>
      <c r="R60" s="33" t="str">
        <f aca="false">IF(B60="","",MAX(N60,0)*J60)</f>
        <v/>
      </c>
      <c r="S60" s="1"/>
    </row>
    <row r="61" customFormat="false" ht="21.75" hidden="false" customHeight="true" outlineLevel="0" collapsed="false">
      <c r="A61" s="1"/>
      <c r="B61" s="31"/>
      <c r="C61" s="31"/>
      <c r="D61" s="31"/>
      <c r="E61" s="32"/>
      <c r="F61" s="31"/>
      <c r="G61" s="32"/>
      <c r="H61" s="31"/>
      <c r="I61" s="31"/>
      <c r="J61" s="33" t="str">
        <f aca="false">IF(B61="","",E61+F61/60*Settings!$C$8)</f>
        <v/>
      </c>
      <c r="K61" s="34" t="str">
        <f aca="false">IF(OR(B61="",G61=0),"",(G61-J61)/G61)</f>
        <v/>
      </c>
      <c r="L61" s="35" t="str">
        <f aca="false">IF(B61="","",SUMIFS(Production!$E$7:$E$204,Production!$C$7:$C$204,B61,Production!$G$7:$G$204,"Done"))</f>
        <v/>
      </c>
      <c r="M61" s="35" t="str">
        <f aca="false">IF(B61="","",SUMIFS(Sales!$E$7:$E$504,Sales!$C$7:$C$504,B61))</f>
        <v/>
      </c>
      <c r="N61" s="35" t="str">
        <f aca="false">IF(B61="","",H61+L61-M61)</f>
        <v/>
      </c>
      <c r="O61" s="35" t="str">
        <f aca="false">IF(B61="","",SUMIFS(Sales!$E$7:$E$504,Sales!$C$7:$C$504,B61,Sales!$B$7:$B$504,"&gt;="&amp;Settings!$C$10,Sales!$B$7:$B$504,"&lt;="&amp;Settings!$C$11))</f>
        <v/>
      </c>
      <c r="P61" s="36" t="str">
        <f aca="false">IF(OR(B61="",O61=0),"",MAX(N61,0)/(O61/MAX(1,Settings!$C$11-Settings!$C$10)))</f>
        <v/>
      </c>
      <c r="Q61" s="37" t="str">
        <f aca="false">IF(B61="","",IF(N61&lt;=0,"Out of stock",IF(N61&lt;=I61,"Restock","OK")))</f>
        <v/>
      </c>
      <c r="R61" s="33" t="str">
        <f aca="false">IF(B61="","",MAX(N61,0)*J61)</f>
        <v/>
      </c>
      <c r="S61" s="1"/>
    </row>
    <row r="62" customFormat="false" ht="21.75" hidden="false" customHeight="true" outlineLevel="0" collapsed="false">
      <c r="A62" s="1"/>
      <c r="B62" s="31"/>
      <c r="C62" s="31"/>
      <c r="D62" s="31"/>
      <c r="E62" s="32"/>
      <c r="F62" s="31"/>
      <c r="G62" s="32"/>
      <c r="H62" s="31"/>
      <c r="I62" s="31"/>
      <c r="J62" s="33" t="str">
        <f aca="false">IF(B62="","",E62+F62/60*Settings!$C$8)</f>
        <v/>
      </c>
      <c r="K62" s="34" t="str">
        <f aca="false">IF(OR(B62="",G62=0),"",(G62-J62)/G62)</f>
        <v/>
      </c>
      <c r="L62" s="35" t="str">
        <f aca="false">IF(B62="","",SUMIFS(Production!$E$7:$E$204,Production!$C$7:$C$204,B62,Production!$G$7:$G$204,"Done"))</f>
        <v/>
      </c>
      <c r="M62" s="35" t="str">
        <f aca="false">IF(B62="","",SUMIFS(Sales!$E$7:$E$504,Sales!$C$7:$C$504,B62))</f>
        <v/>
      </c>
      <c r="N62" s="35" t="str">
        <f aca="false">IF(B62="","",H62+L62-M62)</f>
        <v/>
      </c>
      <c r="O62" s="35" t="str">
        <f aca="false">IF(B62="","",SUMIFS(Sales!$E$7:$E$504,Sales!$C$7:$C$504,B62,Sales!$B$7:$B$504,"&gt;="&amp;Settings!$C$10,Sales!$B$7:$B$504,"&lt;="&amp;Settings!$C$11))</f>
        <v/>
      </c>
      <c r="P62" s="36" t="str">
        <f aca="false">IF(OR(B62="",O62=0),"",MAX(N62,0)/(O62/MAX(1,Settings!$C$11-Settings!$C$10)))</f>
        <v/>
      </c>
      <c r="Q62" s="37" t="str">
        <f aca="false">IF(B62="","",IF(N62&lt;=0,"Out of stock",IF(N62&lt;=I62,"Restock","OK")))</f>
        <v/>
      </c>
      <c r="R62" s="33" t="str">
        <f aca="false">IF(B62="","",MAX(N62,0)*J62)</f>
        <v/>
      </c>
      <c r="S62" s="1"/>
    </row>
    <row r="63" customFormat="false" ht="21.75" hidden="false" customHeight="true" outlineLevel="0" collapsed="false">
      <c r="A63" s="1"/>
      <c r="B63" s="31"/>
      <c r="C63" s="31"/>
      <c r="D63" s="31"/>
      <c r="E63" s="32"/>
      <c r="F63" s="31"/>
      <c r="G63" s="32"/>
      <c r="H63" s="31"/>
      <c r="I63" s="31"/>
      <c r="J63" s="33" t="str">
        <f aca="false">IF(B63="","",E63+F63/60*Settings!$C$8)</f>
        <v/>
      </c>
      <c r="K63" s="34" t="str">
        <f aca="false">IF(OR(B63="",G63=0),"",(G63-J63)/G63)</f>
        <v/>
      </c>
      <c r="L63" s="35" t="str">
        <f aca="false">IF(B63="","",SUMIFS(Production!$E$7:$E$204,Production!$C$7:$C$204,B63,Production!$G$7:$G$204,"Done"))</f>
        <v/>
      </c>
      <c r="M63" s="35" t="str">
        <f aca="false">IF(B63="","",SUMIFS(Sales!$E$7:$E$504,Sales!$C$7:$C$504,B63))</f>
        <v/>
      </c>
      <c r="N63" s="35" t="str">
        <f aca="false">IF(B63="","",H63+L63-M63)</f>
        <v/>
      </c>
      <c r="O63" s="35" t="str">
        <f aca="false">IF(B63="","",SUMIFS(Sales!$E$7:$E$504,Sales!$C$7:$C$504,B63,Sales!$B$7:$B$504,"&gt;="&amp;Settings!$C$10,Sales!$B$7:$B$504,"&lt;="&amp;Settings!$C$11))</f>
        <v/>
      </c>
      <c r="P63" s="36" t="str">
        <f aca="false">IF(OR(B63="",O63=0),"",MAX(N63,0)/(O63/MAX(1,Settings!$C$11-Settings!$C$10)))</f>
        <v/>
      </c>
      <c r="Q63" s="37" t="str">
        <f aca="false">IF(B63="","",IF(N63&lt;=0,"Out of stock",IF(N63&lt;=I63,"Restock","OK")))</f>
        <v/>
      </c>
      <c r="R63" s="33" t="str">
        <f aca="false">IF(B63="","",MAX(N63,0)*J63)</f>
        <v/>
      </c>
      <c r="S63" s="1"/>
    </row>
    <row r="64" customFormat="false" ht="21.75" hidden="false" customHeight="true" outlineLevel="0" collapsed="false">
      <c r="A64" s="1"/>
      <c r="B64" s="31"/>
      <c r="C64" s="31"/>
      <c r="D64" s="31"/>
      <c r="E64" s="32"/>
      <c r="F64" s="31"/>
      <c r="G64" s="32"/>
      <c r="H64" s="31"/>
      <c r="I64" s="31"/>
      <c r="J64" s="33" t="str">
        <f aca="false">IF(B64="","",E64+F64/60*Settings!$C$8)</f>
        <v/>
      </c>
      <c r="K64" s="34" t="str">
        <f aca="false">IF(OR(B64="",G64=0),"",(G64-J64)/G64)</f>
        <v/>
      </c>
      <c r="L64" s="35" t="str">
        <f aca="false">IF(B64="","",SUMIFS(Production!$E$7:$E$204,Production!$C$7:$C$204,B64,Production!$G$7:$G$204,"Done"))</f>
        <v/>
      </c>
      <c r="M64" s="35" t="str">
        <f aca="false">IF(B64="","",SUMIFS(Sales!$E$7:$E$504,Sales!$C$7:$C$504,B64))</f>
        <v/>
      </c>
      <c r="N64" s="35" t="str">
        <f aca="false">IF(B64="","",H64+L64-M64)</f>
        <v/>
      </c>
      <c r="O64" s="35" t="str">
        <f aca="false">IF(B64="","",SUMIFS(Sales!$E$7:$E$504,Sales!$C$7:$C$504,B64,Sales!$B$7:$B$504,"&gt;="&amp;Settings!$C$10,Sales!$B$7:$B$504,"&lt;="&amp;Settings!$C$11))</f>
        <v/>
      </c>
      <c r="P64" s="36" t="str">
        <f aca="false">IF(OR(B64="",O64=0),"",MAX(N64,0)/(O64/MAX(1,Settings!$C$11-Settings!$C$10)))</f>
        <v/>
      </c>
      <c r="Q64" s="37" t="str">
        <f aca="false">IF(B64="","",IF(N64&lt;=0,"Out of stock",IF(N64&lt;=I64,"Restock","OK")))</f>
        <v/>
      </c>
      <c r="R64" s="33" t="str">
        <f aca="false">IF(B64="","",MAX(N64,0)*J64)</f>
        <v/>
      </c>
      <c r="S64" s="1"/>
    </row>
    <row r="65" customFormat="false" ht="21.75" hidden="false" customHeight="true" outlineLevel="0" collapsed="false">
      <c r="A65" s="1"/>
      <c r="B65" s="31"/>
      <c r="C65" s="31"/>
      <c r="D65" s="31"/>
      <c r="E65" s="32"/>
      <c r="F65" s="31"/>
      <c r="G65" s="32"/>
      <c r="H65" s="31"/>
      <c r="I65" s="31"/>
      <c r="J65" s="33" t="str">
        <f aca="false">IF(B65="","",E65+F65/60*Settings!$C$8)</f>
        <v/>
      </c>
      <c r="K65" s="34" t="str">
        <f aca="false">IF(OR(B65="",G65=0),"",(G65-J65)/G65)</f>
        <v/>
      </c>
      <c r="L65" s="35" t="str">
        <f aca="false">IF(B65="","",SUMIFS(Production!$E$7:$E$204,Production!$C$7:$C$204,B65,Production!$G$7:$G$204,"Done"))</f>
        <v/>
      </c>
      <c r="M65" s="35" t="str">
        <f aca="false">IF(B65="","",SUMIFS(Sales!$E$7:$E$504,Sales!$C$7:$C$504,B65))</f>
        <v/>
      </c>
      <c r="N65" s="35" t="str">
        <f aca="false">IF(B65="","",H65+L65-M65)</f>
        <v/>
      </c>
      <c r="O65" s="35" t="str">
        <f aca="false">IF(B65="","",SUMIFS(Sales!$E$7:$E$504,Sales!$C$7:$C$504,B65,Sales!$B$7:$B$504,"&gt;="&amp;Settings!$C$10,Sales!$B$7:$B$504,"&lt;="&amp;Settings!$C$11))</f>
        <v/>
      </c>
      <c r="P65" s="36" t="str">
        <f aca="false">IF(OR(B65="",O65=0),"",MAX(N65,0)/(O65/MAX(1,Settings!$C$11-Settings!$C$10)))</f>
        <v/>
      </c>
      <c r="Q65" s="37" t="str">
        <f aca="false">IF(B65="","",IF(N65&lt;=0,"Out of stock",IF(N65&lt;=I65,"Restock","OK")))</f>
        <v/>
      </c>
      <c r="R65" s="33" t="str">
        <f aca="false">IF(B65="","",MAX(N65,0)*J65)</f>
        <v/>
      </c>
      <c r="S65" s="1"/>
    </row>
    <row r="66" customFormat="false" ht="21.75" hidden="false" customHeight="true" outlineLevel="0" collapsed="false">
      <c r="A66" s="1"/>
      <c r="B66" s="31"/>
      <c r="C66" s="31"/>
      <c r="D66" s="31"/>
      <c r="E66" s="32"/>
      <c r="F66" s="31"/>
      <c r="G66" s="32"/>
      <c r="H66" s="31"/>
      <c r="I66" s="31"/>
      <c r="J66" s="33" t="str">
        <f aca="false">IF(B66="","",E66+F66/60*Settings!$C$8)</f>
        <v/>
      </c>
      <c r="K66" s="34" t="str">
        <f aca="false">IF(OR(B66="",G66=0),"",(G66-J66)/G66)</f>
        <v/>
      </c>
      <c r="L66" s="35" t="str">
        <f aca="false">IF(B66="","",SUMIFS(Production!$E$7:$E$204,Production!$C$7:$C$204,B66,Production!$G$7:$G$204,"Done"))</f>
        <v/>
      </c>
      <c r="M66" s="35" t="str">
        <f aca="false">IF(B66="","",SUMIFS(Sales!$E$7:$E$504,Sales!$C$7:$C$504,B66))</f>
        <v/>
      </c>
      <c r="N66" s="35" t="str">
        <f aca="false">IF(B66="","",H66+L66-M66)</f>
        <v/>
      </c>
      <c r="O66" s="35" t="str">
        <f aca="false">IF(B66="","",SUMIFS(Sales!$E$7:$E$504,Sales!$C$7:$C$504,B66,Sales!$B$7:$B$504,"&gt;="&amp;Settings!$C$10,Sales!$B$7:$B$504,"&lt;="&amp;Settings!$C$11))</f>
        <v/>
      </c>
      <c r="P66" s="36" t="str">
        <f aca="false">IF(OR(B66="",O66=0),"",MAX(N66,0)/(O66/MAX(1,Settings!$C$11-Settings!$C$10)))</f>
        <v/>
      </c>
      <c r="Q66" s="37" t="str">
        <f aca="false">IF(B66="","",IF(N66&lt;=0,"Out of stock",IF(N66&lt;=I66,"Restock","OK")))</f>
        <v/>
      </c>
      <c r="R66" s="33" t="str">
        <f aca="false">IF(B66="","",MAX(N66,0)*J66)</f>
        <v/>
      </c>
      <c r="S66" s="1"/>
    </row>
    <row r="67" customFormat="false" ht="21.75" hidden="false" customHeight="true" outlineLevel="0" collapsed="false">
      <c r="A67" s="1"/>
      <c r="B67" s="31"/>
      <c r="C67" s="31"/>
      <c r="D67" s="31"/>
      <c r="E67" s="32"/>
      <c r="F67" s="31"/>
      <c r="G67" s="32"/>
      <c r="H67" s="31"/>
      <c r="I67" s="31"/>
      <c r="J67" s="33" t="str">
        <f aca="false">IF(B67="","",E67+F67/60*Settings!$C$8)</f>
        <v/>
      </c>
      <c r="K67" s="34" t="str">
        <f aca="false">IF(OR(B67="",G67=0),"",(G67-J67)/G67)</f>
        <v/>
      </c>
      <c r="L67" s="35" t="str">
        <f aca="false">IF(B67="","",SUMIFS(Production!$E$7:$E$204,Production!$C$7:$C$204,B67,Production!$G$7:$G$204,"Done"))</f>
        <v/>
      </c>
      <c r="M67" s="35" t="str">
        <f aca="false">IF(B67="","",SUMIFS(Sales!$E$7:$E$504,Sales!$C$7:$C$504,B67))</f>
        <v/>
      </c>
      <c r="N67" s="35" t="str">
        <f aca="false">IF(B67="","",H67+L67-M67)</f>
        <v/>
      </c>
      <c r="O67" s="35" t="str">
        <f aca="false">IF(B67="","",SUMIFS(Sales!$E$7:$E$504,Sales!$C$7:$C$504,B67,Sales!$B$7:$B$504,"&gt;="&amp;Settings!$C$10,Sales!$B$7:$B$504,"&lt;="&amp;Settings!$C$11))</f>
        <v/>
      </c>
      <c r="P67" s="36" t="str">
        <f aca="false">IF(OR(B67="",O67=0),"",MAX(N67,0)/(O67/MAX(1,Settings!$C$11-Settings!$C$10)))</f>
        <v/>
      </c>
      <c r="Q67" s="37" t="str">
        <f aca="false">IF(B67="","",IF(N67&lt;=0,"Out of stock",IF(N67&lt;=I67,"Restock","OK")))</f>
        <v/>
      </c>
      <c r="R67" s="33" t="str">
        <f aca="false">IF(B67="","",MAX(N67,0)*J67)</f>
        <v/>
      </c>
      <c r="S67" s="1"/>
    </row>
    <row r="68" customFormat="false" ht="21.75" hidden="false" customHeight="true" outlineLevel="0" collapsed="false">
      <c r="A68" s="1"/>
      <c r="B68" s="31"/>
      <c r="C68" s="31"/>
      <c r="D68" s="31"/>
      <c r="E68" s="32"/>
      <c r="F68" s="31"/>
      <c r="G68" s="32"/>
      <c r="H68" s="31"/>
      <c r="I68" s="31"/>
      <c r="J68" s="33" t="str">
        <f aca="false">IF(B68="","",E68+F68/60*Settings!$C$8)</f>
        <v/>
      </c>
      <c r="K68" s="34" t="str">
        <f aca="false">IF(OR(B68="",G68=0),"",(G68-J68)/G68)</f>
        <v/>
      </c>
      <c r="L68" s="35" t="str">
        <f aca="false">IF(B68="","",SUMIFS(Production!$E$7:$E$204,Production!$C$7:$C$204,B68,Production!$G$7:$G$204,"Done"))</f>
        <v/>
      </c>
      <c r="M68" s="35" t="str">
        <f aca="false">IF(B68="","",SUMIFS(Sales!$E$7:$E$504,Sales!$C$7:$C$504,B68))</f>
        <v/>
      </c>
      <c r="N68" s="35" t="str">
        <f aca="false">IF(B68="","",H68+L68-M68)</f>
        <v/>
      </c>
      <c r="O68" s="35" t="str">
        <f aca="false">IF(B68="","",SUMIFS(Sales!$E$7:$E$504,Sales!$C$7:$C$504,B68,Sales!$B$7:$B$504,"&gt;="&amp;Settings!$C$10,Sales!$B$7:$B$504,"&lt;="&amp;Settings!$C$11))</f>
        <v/>
      </c>
      <c r="P68" s="36" t="str">
        <f aca="false">IF(OR(B68="",O68=0),"",MAX(N68,0)/(O68/MAX(1,Settings!$C$11-Settings!$C$10)))</f>
        <v/>
      </c>
      <c r="Q68" s="37" t="str">
        <f aca="false">IF(B68="","",IF(N68&lt;=0,"Out of stock",IF(N68&lt;=I68,"Restock","OK")))</f>
        <v/>
      </c>
      <c r="R68" s="33" t="str">
        <f aca="false">IF(B68="","",MAX(N68,0)*J68)</f>
        <v/>
      </c>
      <c r="S68" s="1"/>
    </row>
    <row r="69" customFormat="false" ht="21.75" hidden="false" customHeight="true" outlineLevel="0" collapsed="false">
      <c r="A69" s="1"/>
      <c r="B69" s="31"/>
      <c r="C69" s="31"/>
      <c r="D69" s="31"/>
      <c r="E69" s="32"/>
      <c r="F69" s="31"/>
      <c r="G69" s="32"/>
      <c r="H69" s="31"/>
      <c r="I69" s="31"/>
      <c r="J69" s="33" t="str">
        <f aca="false">IF(B69="","",E69+F69/60*Settings!$C$8)</f>
        <v/>
      </c>
      <c r="K69" s="34" t="str">
        <f aca="false">IF(OR(B69="",G69=0),"",(G69-J69)/G69)</f>
        <v/>
      </c>
      <c r="L69" s="35" t="str">
        <f aca="false">IF(B69="","",SUMIFS(Production!$E$7:$E$204,Production!$C$7:$C$204,B69,Production!$G$7:$G$204,"Done"))</f>
        <v/>
      </c>
      <c r="M69" s="35" t="str">
        <f aca="false">IF(B69="","",SUMIFS(Sales!$E$7:$E$504,Sales!$C$7:$C$504,B69))</f>
        <v/>
      </c>
      <c r="N69" s="35" t="str">
        <f aca="false">IF(B69="","",H69+L69-M69)</f>
        <v/>
      </c>
      <c r="O69" s="35" t="str">
        <f aca="false">IF(B69="","",SUMIFS(Sales!$E$7:$E$504,Sales!$C$7:$C$504,B69,Sales!$B$7:$B$504,"&gt;="&amp;Settings!$C$10,Sales!$B$7:$B$504,"&lt;="&amp;Settings!$C$11))</f>
        <v/>
      </c>
      <c r="P69" s="36" t="str">
        <f aca="false">IF(OR(B69="",O69=0),"",MAX(N69,0)/(O69/MAX(1,Settings!$C$11-Settings!$C$10)))</f>
        <v/>
      </c>
      <c r="Q69" s="37" t="str">
        <f aca="false">IF(B69="","",IF(N69&lt;=0,"Out of stock",IF(N69&lt;=I69,"Restock","OK")))</f>
        <v/>
      </c>
      <c r="R69" s="33" t="str">
        <f aca="false">IF(B69="","",MAX(N69,0)*J69)</f>
        <v/>
      </c>
      <c r="S69" s="1"/>
    </row>
    <row r="70" customFormat="false" ht="21.75" hidden="false" customHeight="true" outlineLevel="0" collapsed="false">
      <c r="A70" s="1"/>
      <c r="B70" s="31"/>
      <c r="C70" s="31"/>
      <c r="D70" s="31"/>
      <c r="E70" s="32"/>
      <c r="F70" s="31"/>
      <c r="G70" s="32"/>
      <c r="H70" s="31"/>
      <c r="I70" s="31"/>
      <c r="J70" s="33" t="str">
        <f aca="false">IF(B70="","",E70+F70/60*Settings!$C$8)</f>
        <v/>
      </c>
      <c r="K70" s="34" t="str">
        <f aca="false">IF(OR(B70="",G70=0),"",(G70-J70)/G70)</f>
        <v/>
      </c>
      <c r="L70" s="35" t="str">
        <f aca="false">IF(B70="","",SUMIFS(Production!$E$7:$E$204,Production!$C$7:$C$204,B70,Production!$G$7:$G$204,"Done"))</f>
        <v/>
      </c>
      <c r="M70" s="35" t="str">
        <f aca="false">IF(B70="","",SUMIFS(Sales!$E$7:$E$504,Sales!$C$7:$C$504,B70))</f>
        <v/>
      </c>
      <c r="N70" s="35" t="str">
        <f aca="false">IF(B70="","",H70+L70-M70)</f>
        <v/>
      </c>
      <c r="O70" s="35" t="str">
        <f aca="false">IF(B70="","",SUMIFS(Sales!$E$7:$E$504,Sales!$C$7:$C$504,B70,Sales!$B$7:$B$504,"&gt;="&amp;Settings!$C$10,Sales!$B$7:$B$504,"&lt;="&amp;Settings!$C$11))</f>
        <v/>
      </c>
      <c r="P70" s="36" t="str">
        <f aca="false">IF(OR(B70="",O70=0),"",MAX(N70,0)/(O70/MAX(1,Settings!$C$11-Settings!$C$10)))</f>
        <v/>
      </c>
      <c r="Q70" s="37" t="str">
        <f aca="false">IF(B70="","",IF(N70&lt;=0,"Out of stock",IF(N70&lt;=I70,"Restock","OK")))</f>
        <v/>
      </c>
      <c r="R70" s="33" t="str">
        <f aca="false">IF(B70="","",MAX(N70,0)*J70)</f>
        <v/>
      </c>
      <c r="S70" s="1"/>
    </row>
    <row r="71" customFormat="false" ht="21.75" hidden="false" customHeight="true" outlineLevel="0" collapsed="false">
      <c r="A71" s="1"/>
      <c r="B71" s="31"/>
      <c r="C71" s="31"/>
      <c r="D71" s="31"/>
      <c r="E71" s="32"/>
      <c r="F71" s="31"/>
      <c r="G71" s="32"/>
      <c r="H71" s="31"/>
      <c r="I71" s="31"/>
      <c r="J71" s="33" t="str">
        <f aca="false">IF(B71="","",E71+F71/60*Settings!$C$8)</f>
        <v/>
      </c>
      <c r="K71" s="34" t="str">
        <f aca="false">IF(OR(B71="",G71=0),"",(G71-J71)/G71)</f>
        <v/>
      </c>
      <c r="L71" s="35" t="str">
        <f aca="false">IF(B71="","",SUMIFS(Production!$E$7:$E$204,Production!$C$7:$C$204,B71,Production!$G$7:$G$204,"Done"))</f>
        <v/>
      </c>
      <c r="M71" s="35" t="str">
        <f aca="false">IF(B71="","",SUMIFS(Sales!$E$7:$E$504,Sales!$C$7:$C$504,B71))</f>
        <v/>
      </c>
      <c r="N71" s="35" t="str">
        <f aca="false">IF(B71="","",H71+L71-M71)</f>
        <v/>
      </c>
      <c r="O71" s="35" t="str">
        <f aca="false">IF(B71="","",SUMIFS(Sales!$E$7:$E$504,Sales!$C$7:$C$504,B71,Sales!$B$7:$B$504,"&gt;="&amp;Settings!$C$10,Sales!$B$7:$B$504,"&lt;="&amp;Settings!$C$11))</f>
        <v/>
      </c>
      <c r="P71" s="36" t="str">
        <f aca="false">IF(OR(B71="",O71=0),"",MAX(N71,0)/(O71/MAX(1,Settings!$C$11-Settings!$C$10)))</f>
        <v/>
      </c>
      <c r="Q71" s="37" t="str">
        <f aca="false">IF(B71="","",IF(N71&lt;=0,"Out of stock",IF(N71&lt;=I71,"Restock","OK")))</f>
        <v/>
      </c>
      <c r="R71" s="33" t="str">
        <f aca="false">IF(B71="","",MAX(N71,0)*J71)</f>
        <v/>
      </c>
      <c r="S71" s="1"/>
    </row>
    <row r="72" customFormat="false" ht="21.75" hidden="false" customHeight="true" outlineLevel="0" collapsed="false">
      <c r="A72" s="1"/>
      <c r="B72" s="31"/>
      <c r="C72" s="31"/>
      <c r="D72" s="31"/>
      <c r="E72" s="32"/>
      <c r="F72" s="31"/>
      <c r="G72" s="32"/>
      <c r="H72" s="31"/>
      <c r="I72" s="31"/>
      <c r="J72" s="33" t="str">
        <f aca="false">IF(B72="","",E72+F72/60*Settings!$C$8)</f>
        <v/>
      </c>
      <c r="K72" s="34" t="str">
        <f aca="false">IF(OR(B72="",G72=0),"",(G72-J72)/G72)</f>
        <v/>
      </c>
      <c r="L72" s="35" t="str">
        <f aca="false">IF(B72="","",SUMIFS(Production!$E$7:$E$204,Production!$C$7:$C$204,B72,Production!$G$7:$G$204,"Done"))</f>
        <v/>
      </c>
      <c r="M72" s="35" t="str">
        <f aca="false">IF(B72="","",SUMIFS(Sales!$E$7:$E$504,Sales!$C$7:$C$504,B72))</f>
        <v/>
      </c>
      <c r="N72" s="35" t="str">
        <f aca="false">IF(B72="","",H72+L72-M72)</f>
        <v/>
      </c>
      <c r="O72" s="35" t="str">
        <f aca="false">IF(B72="","",SUMIFS(Sales!$E$7:$E$504,Sales!$C$7:$C$504,B72,Sales!$B$7:$B$504,"&gt;="&amp;Settings!$C$10,Sales!$B$7:$B$504,"&lt;="&amp;Settings!$C$11))</f>
        <v/>
      </c>
      <c r="P72" s="36" t="str">
        <f aca="false">IF(OR(B72="",O72=0),"",MAX(N72,0)/(O72/MAX(1,Settings!$C$11-Settings!$C$10)))</f>
        <v/>
      </c>
      <c r="Q72" s="37" t="str">
        <f aca="false">IF(B72="","",IF(N72&lt;=0,"Out of stock",IF(N72&lt;=I72,"Restock","OK")))</f>
        <v/>
      </c>
      <c r="R72" s="33" t="str">
        <f aca="false">IF(B72="","",MAX(N72,0)*J72)</f>
        <v/>
      </c>
      <c r="S72" s="1"/>
    </row>
    <row r="73" customFormat="false" ht="21.75" hidden="false" customHeight="true" outlineLevel="0" collapsed="false">
      <c r="A73" s="1"/>
      <c r="B73" s="31"/>
      <c r="C73" s="31"/>
      <c r="D73" s="31"/>
      <c r="E73" s="32"/>
      <c r="F73" s="31"/>
      <c r="G73" s="32"/>
      <c r="H73" s="31"/>
      <c r="I73" s="31"/>
      <c r="J73" s="33" t="str">
        <f aca="false">IF(B73="","",E73+F73/60*Settings!$C$8)</f>
        <v/>
      </c>
      <c r="K73" s="34" t="str">
        <f aca="false">IF(OR(B73="",G73=0),"",(G73-J73)/G73)</f>
        <v/>
      </c>
      <c r="L73" s="35" t="str">
        <f aca="false">IF(B73="","",SUMIFS(Production!$E$7:$E$204,Production!$C$7:$C$204,B73,Production!$G$7:$G$204,"Done"))</f>
        <v/>
      </c>
      <c r="M73" s="35" t="str">
        <f aca="false">IF(B73="","",SUMIFS(Sales!$E$7:$E$504,Sales!$C$7:$C$504,B73))</f>
        <v/>
      </c>
      <c r="N73" s="35" t="str">
        <f aca="false">IF(B73="","",H73+L73-M73)</f>
        <v/>
      </c>
      <c r="O73" s="35" t="str">
        <f aca="false">IF(B73="","",SUMIFS(Sales!$E$7:$E$504,Sales!$C$7:$C$504,B73,Sales!$B$7:$B$504,"&gt;="&amp;Settings!$C$10,Sales!$B$7:$B$504,"&lt;="&amp;Settings!$C$11))</f>
        <v/>
      </c>
      <c r="P73" s="36" t="str">
        <f aca="false">IF(OR(B73="",O73=0),"",MAX(N73,0)/(O73/MAX(1,Settings!$C$11-Settings!$C$10)))</f>
        <v/>
      </c>
      <c r="Q73" s="37" t="str">
        <f aca="false">IF(B73="","",IF(N73&lt;=0,"Out of stock",IF(N73&lt;=I73,"Restock","OK")))</f>
        <v/>
      </c>
      <c r="R73" s="33" t="str">
        <f aca="false">IF(B73="","",MAX(N73,0)*J73)</f>
        <v/>
      </c>
      <c r="S73" s="1"/>
    </row>
    <row r="74" customFormat="false" ht="21.75" hidden="false" customHeight="true" outlineLevel="0" collapsed="false">
      <c r="A74" s="1"/>
      <c r="B74" s="31"/>
      <c r="C74" s="31"/>
      <c r="D74" s="31"/>
      <c r="E74" s="32"/>
      <c r="F74" s="31"/>
      <c r="G74" s="32"/>
      <c r="H74" s="31"/>
      <c r="I74" s="31"/>
      <c r="J74" s="33" t="str">
        <f aca="false">IF(B74="","",E74+F74/60*Settings!$C$8)</f>
        <v/>
      </c>
      <c r="K74" s="34" t="str">
        <f aca="false">IF(OR(B74="",G74=0),"",(G74-J74)/G74)</f>
        <v/>
      </c>
      <c r="L74" s="35" t="str">
        <f aca="false">IF(B74="","",SUMIFS(Production!$E$7:$E$204,Production!$C$7:$C$204,B74,Production!$G$7:$G$204,"Done"))</f>
        <v/>
      </c>
      <c r="M74" s="35" t="str">
        <f aca="false">IF(B74="","",SUMIFS(Sales!$E$7:$E$504,Sales!$C$7:$C$504,B74))</f>
        <v/>
      </c>
      <c r="N74" s="35" t="str">
        <f aca="false">IF(B74="","",H74+L74-M74)</f>
        <v/>
      </c>
      <c r="O74" s="35" t="str">
        <f aca="false">IF(B74="","",SUMIFS(Sales!$E$7:$E$504,Sales!$C$7:$C$504,B74,Sales!$B$7:$B$504,"&gt;="&amp;Settings!$C$10,Sales!$B$7:$B$504,"&lt;="&amp;Settings!$C$11))</f>
        <v/>
      </c>
      <c r="P74" s="36" t="str">
        <f aca="false">IF(OR(B74="",O74=0),"",MAX(N74,0)/(O74/MAX(1,Settings!$C$11-Settings!$C$10)))</f>
        <v/>
      </c>
      <c r="Q74" s="37" t="str">
        <f aca="false">IF(B74="","",IF(N74&lt;=0,"Out of stock",IF(N74&lt;=I74,"Restock","OK")))</f>
        <v/>
      </c>
      <c r="R74" s="33" t="str">
        <f aca="false">IF(B74="","",MAX(N74,0)*J74)</f>
        <v/>
      </c>
      <c r="S74" s="1"/>
    </row>
    <row r="75" customFormat="false" ht="21.75" hidden="false" customHeight="true" outlineLevel="0" collapsed="false">
      <c r="A75" s="1"/>
      <c r="B75" s="31"/>
      <c r="C75" s="31"/>
      <c r="D75" s="31"/>
      <c r="E75" s="32"/>
      <c r="F75" s="31"/>
      <c r="G75" s="32"/>
      <c r="H75" s="31"/>
      <c r="I75" s="31"/>
      <c r="J75" s="33" t="str">
        <f aca="false">IF(B75="","",E75+F75/60*Settings!$C$8)</f>
        <v/>
      </c>
      <c r="K75" s="34" t="str">
        <f aca="false">IF(OR(B75="",G75=0),"",(G75-J75)/G75)</f>
        <v/>
      </c>
      <c r="L75" s="35" t="str">
        <f aca="false">IF(B75="","",SUMIFS(Production!$E$7:$E$204,Production!$C$7:$C$204,B75,Production!$G$7:$G$204,"Done"))</f>
        <v/>
      </c>
      <c r="M75" s="35" t="str">
        <f aca="false">IF(B75="","",SUMIFS(Sales!$E$7:$E$504,Sales!$C$7:$C$504,B75))</f>
        <v/>
      </c>
      <c r="N75" s="35" t="str">
        <f aca="false">IF(B75="","",H75+L75-M75)</f>
        <v/>
      </c>
      <c r="O75" s="35" t="str">
        <f aca="false">IF(B75="","",SUMIFS(Sales!$E$7:$E$504,Sales!$C$7:$C$504,B75,Sales!$B$7:$B$504,"&gt;="&amp;Settings!$C$10,Sales!$B$7:$B$504,"&lt;="&amp;Settings!$C$11))</f>
        <v/>
      </c>
      <c r="P75" s="36" t="str">
        <f aca="false">IF(OR(B75="",O75=0),"",MAX(N75,0)/(O75/MAX(1,Settings!$C$11-Settings!$C$10)))</f>
        <v/>
      </c>
      <c r="Q75" s="37" t="str">
        <f aca="false">IF(B75="","",IF(N75&lt;=0,"Out of stock",IF(N75&lt;=I75,"Restock","OK")))</f>
        <v/>
      </c>
      <c r="R75" s="33" t="str">
        <f aca="false">IF(B75="","",MAX(N75,0)*J75)</f>
        <v/>
      </c>
      <c r="S75" s="1"/>
    </row>
    <row r="76" customFormat="false" ht="21.75" hidden="false" customHeight="true" outlineLevel="0" collapsed="false">
      <c r="A76" s="1"/>
      <c r="B76" s="31"/>
      <c r="C76" s="31"/>
      <c r="D76" s="31"/>
      <c r="E76" s="32"/>
      <c r="F76" s="31"/>
      <c r="G76" s="32"/>
      <c r="H76" s="31"/>
      <c r="I76" s="31"/>
      <c r="J76" s="33" t="str">
        <f aca="false">IF(B76="","",E76+F76/60*Settings!$C$8)</f>
        <v/>
      </c>
      <c r="K76" s="34" t="str">
        <f aca="false">IF(OR(B76="",G76=0),"",(G76-J76)/G76)</f>
        <v/>
      </c>
      <c r="L76" s="35" t="str">
        <f aca="false">IF(B76="","",SUMIFS(Production!$E$7:$E$204,Production!$C$7:$C$204,B76,Production!$G$7:$G$204,"Done"))</f>
        <v/>
      </c>
      <c r="M76" s="35" t="str">
        <f aca="false">IF(B76="","",SUMIFS(Sales!$E$7:$E$504,Sales!$C$7:$C$504,B76))</f>
        <v/>
      </c>
      <c r="N76" s="35" t="str">
        <f aca="false">IF(B76="","",H76+L76-M76)</f>
        <v/>
      </c>
      <c r="O76" s="35" t="str">
        <f aca="false">IF(B76="","",SUMIFS(Sales!$E$7:$E$504,Sales!$C$7:$C$504,B76,Sales!$B$7:$B$504,"&gt;="&amp;Settings!$C$10,Sales!$B$7:$B$504,"&lt;="&amp;Settings!$C$11))</f>
        <v/>
      </c>
      <c r="P76" s="36" t="str">
        <f aca="false">IF(OR(B76="",O76=0),"",MAX(N76,0)/(O76/MAX(1,Settings!$C$11-Settings!$C$10)))</f>
        <v/>
      </c>
      <c r="Q76" s="37" t="str">
        <f aca="false">IF(B76="","",IF(N76&lt;=0,"Out of stock",IF(N76&lt;=I76,"Restock","OK")))</f>
        <v/>
      </c>
      <c r="R76" s="33" t="str">
        <f aca="false">IF(B76="","",MAX(N76,0)*J76)</f>
        <v/>
      </c>
      <c r="S76" s="1"/>
    </row>
    <row r="77" customFormat="false" ht="21.75" hidden="false" customHeight="true" outlineLevel="0" collapsed="false">
      <c r="A77" s="1"/>
      <c r="B77" s="31"/>
      <c r="C77" s="31"/>
      <c r="D77" s="31"/>
      <c r="E77" s="32"/>
      <c r="F77" s="31"/>
      <c r="G77" s="32"/>
      <c r="H77" s="31"/>
      <c r="I77" s="31"/>
      <c r="J77" s="33" t="str">
        <f aca="false">IF(B77="","",E77+F77/60*Settings!$C$8)</f>
        <v/>
      </c>
      <c r="K77" s="34" t="str">
        <f aca="false">IF(OR(B77="",G77=0),"",(G77-J77)/G77)</f>
        <v/>
      </c>
      <c r="L77" s="35" t="str">
        <f aca="false">IF(B77="","",SUMIFS(Production!$E$7:$E$204,Production!$C$7:$C$204,B77,Production!$G$7:$G$204,"Done"))</f>
        <v/>
      </c>
      <c r="M77" s="35" t="str">
        <f aca="false">IF(B77="","",SUMIFS(Sales!$E$7:$E$504,Sales!$C$7:$C$504,B77))</f>
        <v/>
      </c>
      <c r="N77" s="35" t="str">
        <f aca="false">IF(B77="","",H77+L77-M77)</f>
        <v/>
      </c>
      <c r="O77" s="35" t="str">
        <f aca="false">IF(B77="","",SUMIFS(Sales!$E$7:$E$504,Sales!$C$7:$C$504,B77,Sales!$B$7:$B$504,"&gt;="&amp;Settings!$C$10,Sales!$B$7:$B$504,"&lt;="&amp;Settings!$C$11))</f>
        <v/>
      </c>
      <c r="P77" s="36" t="str">
        <f aca="false">IF(OR(B77="",O77=0),"",MAX(N77,0)/(O77/MAX(1,Settings!$C$11-Settings!$C$10)))</f>
        <v/>
      </c>
      <c r="Q77" s="37" t="str">
        <f aca="false">IF(B77="","",IF(N77&lt;=0,"Out of stock",IF(N77&lt;=I77,"Restock","OK")))</f>
        <v/>
      </c>
      <c r="R77" s="33" t="str">
        <f aca="false">IF(B77="","",MAX(N77,0)*J77)</f>
        <v/>
      </c>
      <c r="S77" s="1"/>
    </row>
    <row r="78" customFormat="false" ht="21.75" hidden="false" customHeight="true" outlineLevel="0" collapsed="false">
      <c r="A78" s="1"/>
      <c r="B78" s="31"/>
      <c r="C78" s="31"/>
      <c r="D78" s="31"/>
      <c r="E78" s="32"/>
      <c r="F78" s="31"/>
      <c r="G78" s="32"/>
      <c r="H78" s="31"/>
      <c r="I78" s="31"/>
      <c r="J78" s="33" t="str">
        <f aca="false">IF(B78="","",E78+F78/60*Settings!$C$8)</f>
        <v/>
      </c>
      <c r="K78" s="34" t="str">
        <f aca="false">IF(OR(B78="",G78=0),"",(G78-J78)/G78)</f>
        <v/>
      </c>
      <c r="L78" s="35" t="str">
        <f aca="false">IF(B78="","",SUMIFS(Production!$E$7:$E$204,Production!$C$7:$C$204,B78,Production!$G$7:$G$204,"Done"))</f>
        <v/>
      </c>
      <c r="M78" s="35" t="str">
        <f aca="false">IF(B78="","",SUMIFS(Sales!$E$7:$E$504,Sales!$C$7:$C$504,B78))</f>
        <v/>
      </c>
      <c r="N78" s="35" t="str">
        <f aca="false">IF(B78="","",H78+L78-M78)</f>
        <v/>
      </c>
      <c r="O78" s="35" t="str">
        <f aca="false">IF(B78="","",SUMIFS(Sales!$E$7:$E$504,Sales!$C$7:$C$504,B78,Sales!$B$7:$B$504,"&gt;="&amp;Settings!$C$10,Sales!$B$7:$B$504,"&lt;="&amp;Settings!$C$11))</f>
        <v/>
      </c>
      <c r="P78" s="36" t="str">
        <f aca="false">IF(OR(B78="",O78=0),"",MAX(N78,0)/(O78/MAX(1,Settings!$C$11-Settings!$C$10)))</f>
        <v/>
      </c>
      <c r="Q78" s="37" t="str">
        <f aca="false">IF(B78="","",IF(N78&lt;=0,"Out of stock",IF(N78&lt;=I78,"Restock","OK")))</f>
        <v/>
      </c>
      <c r="R78" s="33" t="str">
        <f aca="false">IF(B78="","",MAX(N78,0)*J78)</f>
        <v/>
      </c>
      <c r="S78" s="1"/>
    </row>
    <row r="79" customFormat="false" ht="21.75" hidden="false" customHeight="true" outlineLevel="0" collapsed="false">
      <c r="A79" s="1"/>
      <c r="B79" s="31"/>
      <c r="C79" s="31"/>
      <c r="D79" s="31"/>
      <c r="E79" s="32"/>
      <c r="F79" s="31"/>
      <c r="G79" s="32"/>
      <c r="H79" s="31"/>
      <c r="I79" s="31"/>
      <c r="J79" s="33" t="str">
        <f aca="false">IF(B79="","",E79+F79/60*Settings!$C$8)</f>
        <v/>
      </c>
      <c r="K79" s="34" t="str">
        <f aca="false">IF(OR(B79="",G79=0),"",(G79-J79)/G79)</f>
        <v/>
      </c>
      <c r="L79" s="35" t="str">
        <f aca="false">IF(B79="","",SUMIFS(Production!$E$7:$E$204,Production!$C$7:$C$204,B79,Production!$G$7:$G$204,"Done"))</f>
        <v/>
      </c>
      <c r="M79" s="35" t="str">
        <f aca="false">IF(B79="","",SUMIFS(Sales!$E$7:$E$504,Sales!$C$7:$C$504,B79))</f>
        <v/>
      </c>
      <c r="N79" s="35" t="str">
        <f aca="false">IF(B79="","",H79+L79-M79)</f>
        <v/>
      </c>
      <c r="O79" s="35" t="str">
        <f aca="false">IF(B79="","",SUMIFS(Sales!$E$7:$E$504,Sales!$C$7:$C$504,B79,Sales!$B$7:$B$504,"&gt;="&amp;Settings!$C$10,Sales!$B$7:$B$504,"&lt;="&amp;Settings!$C$11))</f>
        <v/>
      </c>
      <c r="P79" s="36" t="str">
        <f aca="false">IF(OR(B79="",O79=0),"",MAX(N79,0)/(O79/MAX(1,Settings!$C$11-Settings!$C$10)))</f>
        <v/>
      </c>
      <c r="Q79" s="37" t="str">
        <f aca="false">IF(B79="","",IF(N79&lt;=0,"Out of stock",IF(N79&lt;=I79,"Restock","OK")))</f>
        <v/>
      </c>
      <c r="R79" s="33" t="str">
        <f aca="false">IF(B79="","",MAX(N79,0)*J79)</f>
        <v/>
      </c>
      <c r="S79" s="1"/>
    </row>
    <row r="80" customFormat="false" ht="21.75" hidden="false" customHeight="true" outlineLevel="0" collapsed="false">
      <c r="A80" s="1"/>
      <c r="B80" s="31"/>
      <c r="C80" s="31"/>
      <c r="D80" s="31"/>
      <c r="E80" s="32"/>
      <c r="F80" s="31"/>
      <c r="G80" s="32"/>
      <c r="H80" s="31"/>
      <c r="I80" s="31"/>
      <c r="J80" s="33" t="str">
        <f aca="false">IF(B80="","",E80+F80/60*Settings!$C$8)</f>
        <v/>
      </c>
      <c r="K80" s="34" t="str">
        <f aca="false">IF(OR(B80="",G80=0),"",(G80-J80)/G80)</f>
        <v/>
      </c>
      <c r="L80" s="35" t="str">
        <f aca="false">IF(B80="","",SUMIFS(Production!$E$7:$E$204,Production!$C$7:$C$204,B80,Production!$G$7:$G$204,"Done"))</f>
        <v/>
      </c>
      <c r="M80" s="35" t="str">
        <f aca="false">IF(B80="","",SUMIFS(Sales!$E$7:$E$504,Sales!$C$7:$C$504,B80))</f>
        <v/>
      </c>
      <c r="N80" s="35" t="str">
        <f aca="false">IF(B80="","",H80+L80-M80)</f>
        <v/>
      </c>
      <c r="O80" s="35" t="str">
        <f aca="false">IF(B80="","",SUMIFS(Sales!$E$7:$E$504,Sales!$C$7:$C$504,B80,Sales!$B$7:$B$504,"&gt;="&amp;Settings!$C$10,Sales!$B$7:$B$504,"&lt;="&amp;Settings!$C$11))</f>
        <v/>
      </c>
      <c r="P80" s="36" t="str">
        <f aca="false">IF(OR(B80="",O80=0),"",MAX(N80,0)/(O80/MAX(1,Settings!$C$11-Settings!$C$10)))</f>
        <v/>
      </c>
      <c r="Q80" s="37" t="str">
        <f aca="false">IF(B80="","",IF(N80&lt;=0,"Out of stock",IF(N80&lt;=I80,"Restock","OK")))</f>
        <v/>
      </c>
      <c r="R80" s="33" t="str">
        <f aca="false">IF(B80="","",MAX(N80,0)*J80)</f>
        <v/>
      </c>
      <c r="S80" s="1"/>
    </row>
    <row r="81" customFormat="false" ht="21.75" hidden="false" customHeight="true" outlineLevel="0" collapsed="false">
      <c r="A81" s="1"/>
      <c r="B81" s="31"/>
      <c r="C81" s="31"/>
      <c r="D81" s="31"/>
      <c r="E81" s="32"/>
      <c r="F81" s="31"/>
      <c r="G81" s="32"/>
      <c r="H81" s="31"/>
      <c r="I81" s="31"/>
      <c r="J81" s="33" t="str">
        <f aca="false">IF(B81="","",E81+F81/60*Settings!$C$8)</f>
        <v/>
      </c>
      <c r="K81" s="34" t="str">
        <f aca="false">IF(OR(B81="",G81=0),"",(G81-J81)/G81)</f>
        <v/>
      </c>
      <c r="L81" s="35" t="str">
        <f aca="false">IF(B81="","",SUMIFS(Production!$E$7:$E$204,Production!$C$7:$C$204,B81,Production!$G$7:$G$204,"Done"))</f>
        <v/>
      </c>
      <c r="M81" s="35" t="str">
        <f aca="false">IF(B81="","",SUMIFS(Sales!$E$7:$E$504,Sales!$C$7:$C$504,B81))</f>
        <v/>
      </c>
      <c r="N81" s="35" t="str">
        <f aca="false">IF(B81="","",H81+L81-M81)</f>
        <v/>
      </c>
      <c r="O81" s="35" t="str">
        <f aca="false">IF(B81="","",SUMIFS(Sales!$E$7:$E$504,Sales!$C$7:$C$504,B81,Sales!$B$7:$B$504,"&gt;="&amp;Settings!$C$10,Sales!$B$7:$B$504,"&lt;="&amp;Settings!$C$11))</f>
        <v/>
      </c>
      <c r="P81" s="36" t="str">
        <f aca="false">IF(OR(B81="",O81=0),"",MAX(N81,0)/(O81/MAX(1,Settings!$C$11-Settings!$C$10)))</f>
        <v/>
      </c>
      <c r="Q81" s="37" t="str">
        <f aca="false">IF(B81="","",IF(N81&lt;=0,"Out of stock",IF(N81&lt;=I81,"Restock","OK")))</f>
        <v/>
      </c>
      <c r="R81" s="33" t="str">
        <f aca="false">IF(B81="","",MAX(N81,0)*J81)</f>
        <v/>
      </c>
      <c r="S81" s="1"/>
    </row>
    <row r="82" customFormat="false" ht="21.75" hidden="false" customHeight="true" outlineLevel="0" collapsed="false">
      <c r="A82" s="1"/>
      <c r="B82" s="31"/>
      <c r="C82" s="31"/>
      <c r="D82" s="31"/>
      <c r="E82" s="32"/>
      <c r="F82" s="31"/>
      <c r="G82" s="32"/>
      <c r="H82" s="31"/>
      <c r="I82" s="31"/>
      <c r="J82" s="33" t="str">
        <f aca="false">IF(B82="","",E82+F82/60*Settings!$C$8)</f>
        <v/>
      </c>
      <c r="K82" s="34" t="str">
        <f aca="false">IF(OR(B82="",G82=0),"",(G82-J82)/G82)</f>
        <v/>
      </c>
      <c r="L82" s="35" t="str">
        <f aca="false">IF(B82="","",SUMIFS(Production!$E$7:$E$204,Production!$C$7:$C$204,B82,Production!$G$7:$G$204,"Done"))</f>
        <v/>
      </c>
      <c r="M82" s="35" t="str">
        <f aca="false">IF(B82="","",SUMIFS(Sales!$E$7:$E$504,Sales!$C$7:$C$504,B82))</f>
        <v/>
      </c>
      <c r="N82" s="35" t="str">
        <f aca="false">IF(B82="","",H82+L82-M82)</f>
        <v/>
      </c>
      <c r="O82" s="35" t="str">
        <f aca="false">IF(B82="","",SUMIFS(Sales!$E$7:$E$504,Sales!$C$7:$C$504,B82,Sales!$B$7:$B$504,"&gt;="&amp;Settings!$C$10,Sales!$B$7:$B$504,"&lt;="&amp;Settings!$C$11))</f>
        <v/>
      </c>
      <c r="P82" s="36" t="str">
        <f aca="false">IF(OR(B82="",O82=0),"",MAX(N82,0)/(O82/MAX(1,Settings!$C$11-Settings!$C$10)))</f>
        <v/>
      </c>
      <c r="Q82" s="37" t="str">
        <f aca="false">IF(B82="","",IF(N82&lt;=0,"Out of stock",IF(N82&lt;=I82,"Restock","OK")))</f>
        <v/>
      </c>
      <c r="R82" s="33" t="str">
        <f aca="false">IF(B82="","",MAX(N82,0)*J82)</f>
        <v/>
      </c>
      <c r="S82" s="1"/>
    </row>
    <row r="83" customFormat="false" ht="21.75" hidden="false" customHeight="true" outlineLevel="0" collapsed="false">
      <c r="A83" s="1"/>
      <c r="B83" s="31"/>
      <c r="C83" s="31"/>
      <c r="D83" s="31"/>
      <c r="E83" s="32"/>
      <c r="F83" s="31"/>
      <c r="G83" s="32"/>
      <c r="H83" s="31"/>
      <c r="I83" s="31"/>
      <c r="J83" s="33" t="str">
        <f aca="false">IF(B83="","",E83+F83/60*Settings!$C$8)</f>
        <v/>
      </c>
      <c r="K83" s="34" t="str">
        <f aca="false">IF(OR(B83="",G83=0),"",(G83-J83)/G83)</f>
        <v/>
      </c>
      <c r="L83" s="35" t="str">
        <f aca="false">IF(B83="","",SUMIFS(Production!$E$7:$E$204,Production!$C$7:$C$204,B83,Production!$G$7:$G$204,"Done"))</f>
        <v/>
      </c>
      <c r="M83" s="35" t="str">
        <f aca="false">IF(B83="","",SUMIFS(Sales!$E$7:$E$504,Sales!$C$7:$C$504,B83))</f>
        <v/>
      </c>
      <c r="N83" s="35" t="str">
        <f aca="false">IF(B83="","",H83+L83-M83)</f>
        <v/>
      </c>
      <c r="O83" s="35" t="str">
        <f aca="false">IF(B83="","",SUMIFS(Sales!$E$7:$E$504,Sales!$C$7:$C$504,B83,Sales!$B$7:$B$504,"&gt;="&amp;Settings!$C$10,Sales!$B$7:$B$504,"&lt;="&amp;Settings!$C$11))</f>
        <v/>
      </c>
      <c r="P83" s="36" t="str">
        <f aca="false">IF(OR(B83="",O83=0),"",MAX(N83,0)/(O83/MAX(1,Settings!$C$11-Settings!$C$10)))</f>
        <v/>
      </c>
      <c r="Q83" s="37" t="str">
        <f aca="false">IF(B83="","",IF(N83&lt;=0,"Out of stock",IF(N83&lt;=I83,"Restock","OK")))</f>
        <v/>
      </c>
      <c r="R83" s="33" t="str">
        <f aca="false">IF(B83="","",MAX(N83,0)*J83)</f>
        <v/>
      </c>
      <c r="S83" s="1"/>
    </row>
    <row r="84" customFormat="false" ht="21.75" hidden="false" customHeight="true" outlineLevel="0" collapsed="false">
      <c r="A84" s="1"/>
      <c r="B84" s="31"/>
      <c r="C84" s="31"/>
      <c r="D84" s="31"/>
      <c r="E84" s="32"/>
      <c r="F84" s="31"/>
      <c r="G84" s="32"/>
      <c r="H84" s="31"/>
      <c r="I84" s="31"/>
      <c r="J84" s="33" t="str">
        <f aca="false">IF(B84="","",E84+F84/60*Settings!$C$8)</f>
        <v/>
      </c>
      <c r="K84" s="34" t="str">
        <f aca="false">IF(OR(B84="",G84=0),"",(G84-J84)/G84)</f>
        <v/>
      </c>
      <c r="L84" s="35" t="str">
        <f aca="false">IF(B84="","",SUMIFS(Production!$E$7:$E$204,Production!$C$7:$C$204,B84,Production!$G$7:$G$204,"Done"))</f>
        <v/>
      </c>
      <c r="M84" s="35" t="str">
        <f aca="false">IF(B84="","",SUMIFS(Sales!$E$7:$E$504,Sales!$C$7:$C$504,B84))</f>
        <v/>
      </c>
      <c r="N84" s="35" t="str">
        <f aca="false">IF(B84="","",H84+L84-M84)</f>
        <v/>
      </c>
      <c r="O84" s="35" t="str">
        <f aca="false">IF(B84="","",SUMIFS(Sales!$E$7:$E$504,Sales!$C$7:$C$504,B84,Sales!$B$7:$B$504,"&gt;="&amp;Settings!$C$10,Sales!$B$7:$B$504,"&lt;="&amp;Settings!$C$11))</f>
        <v/>
      </c>
      <c r="P84" s="36" t="str">
        <f aca="false">IF(OR(B84="",O84=0),"",MAX(N84,0)/(O84/MAX(1,Settings!$C$11-Settings!$C$10)))</f>
        <v/>
      </c>
      <c r="Q84" s="37" t="str">
        <f aca="false">IF(B84="","",IF(N84&lt;=0,"Out of stock",IF(N84&lt;=I84,"Restock","OK")))</f>
        <v/>
      </c>
      <c r="R84" s="33" t="str">
        <f aca="false">IF(B84="","",MAX(N84,0)*J84)</f>
        <v/>
      </c>
      <c r="S84" s="1"/>
    </row>
    <row r="85" customFormat="false" ht="21.75" hidden="false" customHeight="true" outlineLevel="0" collapsed="false">
      <c r="A85" s="1"/>
      <c r="B85" s="31"/>
      <c r="C85" s="31"/>
      <c r="D85" s="31"/>
      <c r="E85" s="32"/>
      <c r="F85" s="31"/>
      <c r="G85" s="32"/>
      <c r="H85" s="31"/>
      <c r="I85" s="31"/>
      <c r="J85" s="33" t="str">
        <f aca="false">IF(B85="","",E85+F85/60*Settings!$C$8)</f>
        <v/>
      </c>
      <c r="K85" s="34" t="str">
        <f aca="false">IF(OR(B85="",G85=0),"",(G85-J85)/G85)</f>
        <v/>
      </c>
      <c r="L85" s="35" t="str">
        <f aca="false">IF(B85="","",SUMIFS(Production!$E$7:$E$204,Production!$C$7:$C$204,B85,Production!$G$7:$G$204,"Done"))</f>
        <v/>
      </c>
      <c r="M85" s="35" t="str">
        <f aca="false">IF(B85="","",SUMIFS(Sales!$E$7:$E$504,Sales!$C$7:$C$504,B85))</f>
        <v/>
      </c>
      <c r="N85" s="35" t="str">
        <f aca="false">IF(B85="","",H85+L85-M85)</f>
        <v/>
      </c>
      <c r="O85" s="35" t="str">
        <f aca="false">IF(B85="","",SUMIFS(Sales!$E$7:$E$504,Sales!$C$7:$C$504,B85,Sales!$B$7:$B$504,"&gt;="&amp;Settings!$C$10,Sales!$B$7:$B$504,"&lt;="&amp;Settings!$C$11))</f>
        <v/>
      </c>
      <c r="P85" s="36" t="str">
        <f aca="false">IF(OR(B85="",O85=0),"",MAX(N85,0)/(O85/MAX(1,Settings!$C$11-Settings!$C$10)))</f>
        <v/>
      </c>
      <c r="Q85" s="37" t="str">
        <f aca="false">IF(B85="","",IF(N85&lt;=0,"Out of stock",IF(N85&lt;=I85,"Restock","OK")))</f>
        <v/>
      </c>
      <c r="R85" s="33" t="str">
        <f aca="false">IF(B85="","",MAX(N85,0)*J85)</f>
        <v/>
      </c>
      <c r="S85" s="1"/>
    </row>
    <row r="86" customFormat="false" ht="21.75" hidden="false" customHeight="true" outlineLevel="0" collapsed="false">
      <c r="A86" s="1"/>
      <c r="B86" s="31"/>
      <c r="C86" s="31"/>
      <c r="D86" s="31"/>
      <c r="E86" s="32"/>
      <c r="F86" s="31"/>
      <c r="G86" s="32"/>
      <c r="H86" s="31"/>
      <c r="I86" s="31"/>
      <c r="J86" s="33" t="str">
        <f aca="false">IF(B86="","",E86+F86/60*Settings!$C$8)</f>
        <v/>
      </c>
      <c r="K86" s="34" t="str">
        <f aca="false">IF(OR(B86="",G86=0),"",(G86-J86)/G86)</f>
        <v/>
      </c>
      <c r="L86" s="35" t="str">
        <f aca="false">IF(B86="","",SUMIFS(Production!$E$7:$E$204,Production!$C$7:$C$204,B86,Production!$G$7:$G$204,"Done"))</f>
        <v/>
      </c>
      <c r="M86" s="35" t="str">
        <f aca="false">IF(B86="","",SUMIFS(Sales!$E$7:$E$504,Sales!$C$7:$C$504,B86))</f>
        <v/>
      </c>
      <c r="N86" s="35" t="str">
        <f aca="false">IF(B86="","",H86+L86-M86)</f>
        <v/>
      </c>
      <c r="O86" s="35" t="str">
        <f aca="false">IF(B86="","",SUMIFS(Sales!$E$7:$E$504,Sales!$C$7:$C$504,B86,Sales!$B$7:$B$504,"&gt;="&amp;Settings!$C$10,Sales!$B$7:$B$504,"&lt;="&amp;Settings!$C$11))</f>
        <v/>
      </c>
      <c r="P86" s="36" t="str">
        <f aca="false">IF(OR(B86="",O86=0),"",MAX(N86,0)/(O86/MAX(1,Settings!$C$11-Settings!$C$10)))</f>
        <v/>
      </c>
      <c r="Q86" s="37" t="str">
        <f aca="false">IF(B86="","",IF(N86&lt;=0,"Out of stock",IF(N86&lt;=I86,"Restock","OK")))</f>
        <v/>
      </c>
      <c r="R86" s="33" t="str">
        <f aca="false">IF(B86="","",MAX(N86,0)*J86)</f>
        <v/>
      </c>
      <c r="S86" s="1"/>
    </row>
    <row r="87" customFormat="false" ht="21.75" hidden="false" customHeight="true" outlineLevel="0" collapsed="false">
      <c r="A87" s="1"/>
      <c r="B87" s="31"/>
      <c r="C87" s="31"/>
      <c r="D87" s="31"/>
      <c r="E87" s="32"/>
      <c r="F87" s="31"/>
      <c r="G87" s="32"/>
      <c r="H87" s="31"/>
      <c r="I87" s="31"/>
      <c r="J87" s="33" t="str">
        <f aca="false">IF(B87="","",E87+F87/60*Settings!$C$8)</f>
        <v/>
      </c>
      <c r="K87" s="34" t="str">
        <f aca="false">IF(OR(B87="",G87=0),"",(G87-J87)/G87)</f>
        <v/>
      </c>
      <c r="L87" s="35" t="str">
        <f aca="false">IF(B87="","",SUMIFS(Production!$E$7:$E$204,Production!$C$7:$C$204,B87,Production!$G$7:$G$204,"Done"))</f>
        <v/>
      </c>
      <c r="M87" s="35" t="str">
        <f aca="false">IF(B87="","",SUMIFS(Sales!$E$7:$E$504,Sales!$C$7:$C$504,B87))</f>
        <v/>
      </c>
      <c r="N87" s="35" t="str">
        <f aca="false">IF(B87="","",H87+L87-M87)</f>
        <v/>
      </c>
      <c r="O87" s="35" t="str">
        <f aca="false">IF(B87="","",SUMIFS(Sales!$E$7:$E$504,Sales!$C$7:$C$504,B87,Sales!$B$7:$B$504,"&gt;="&amp;Settings!$C$10,Sales!$B$7:$B$504,"&lt;="&amp;Settings!$C$11))</f>
        <v/>
      </c>
      <c r="P87" s="36" t="str">
        <f aca="false">IF(OR(B87="",O87=0),"",MAX(N87,0)/(O87/MAX(1,Settings!$C$11-Settings!$C$10)))</f>
        <v/>
      </c>
      <c r="Q87" s="37" t="str">
        <f aca="false">IF(B87="","",IF(N87&lt;=0,"Out of stock",IF(N87&lt;=I87,"Restock","OK")))</f>
        <v/>
      </c>
      <c r="R87" s="33" t="str">
        <f aca="false">IF(B87="","",MAX(N87,0)*J87)</f>
        <v/>
      </c>
      <c r="S87" s="1"/>
    </row>
    <row r="88" customFormat="false" ht="21.75" hidden="false" customHeight="true" outlineLevel="0" collapsed="false">
      <c r="A88" s="1"/>
      <c r="B88" s="31"/>
      <c r="C88" s="31"/>
      <c r="D88" s="31"/>
      <c r="E88" s="32"/>
      <c r="F88" s="31"/>
      <c r="G88" s="32"/>
      <c r="H88" s="31"/>
      <c r="I88" s="31"/>
      <c r="J88" s="33" t="str">
        <f aca="false">IF(B88="","",E88+F88/60*Settings!$C$8)</f>
        <v/>
      </c>
      <c r="K88" s="34" t="str">
        <f aca="false">IF(OR(B88="",G88=0),"",(G88-J88)/G88)</f>
        <v/>
      </c>
      <c r="L88" s="35" t="str">
        <f aca="false">IF(B88="","",SUMIFS(Production!$E$7:$E$204,Production!$C$7:$C$204,B88,Production!$G$7:$G$204,"Done"))</f>
        <v/>
      </c>
      <c r="M88" s="35" t="str">
        <f aca="false">IF(B88="","",SUMIFS(Sales!$E$7:$E$504,Sales!$C$7:$C$504,B88))</f>
        <v/>
      </c>
      <c r="N88" s="35" t="str">
        <f aca="false">IF(B88="","",H88+L88-M88)</f>
        <v/>
      </c>
      <c r="O88" s="35" t="str">
        <f aca="false">IF(B88="","",SUMIFS(Sales!$E$7:$E$504,Sales!$C$7:$C$504,B88,Sales!$B$7:$B$504,"&gt;="&amp;Settings!$C$10,Sales!$B$7:$B$504,"&lt;="&amp;Settings!$C$11))</f>
        <v/>
      </c>
      <c r="P88" s="36" t="str">
        <f aca="false">IF(OR(B88="",O88=0),"",MAX(N88,0)/(O88/MAX(1,Settings!$C$11-Settings!$C$10)))</f>
        <v/>
      </c>
      <c r="Q88" s="37" t="str">
        <f aca="false">IF(B88="","",IF(N88&lt;=0,"Out of stock",IF(N88&lt;=I88,"Restock","OK")))</f>
        <v/>
      </c>
      <c r="R88" s="33" t="str">
        <f aca="false">IF(B88="","",MAX(N88,0)*J88)</f>
        <v/>
      </c>
      <c r="S88" s="1"/>
    </row>
    <row r="89" customFormat="false" ht="21.75" hidden="false" customHeight="true" outlineLevel="0" collapsed="false">
      <c r="A89" s="1"/>
      <c r="B89" s="31"/>
      <c r="C89" s="31"/>
      <c r="D89" s="31"/>
      <c r="E89" s="32"/>
      <c r="F89" s="31"/>
      <c r="G89" s="32"/>
      <c r="H89" s="31"/>
      <c r="I89" s="31"/>
      <c r="J89" s="33" t="str">
        <f aca="false">IF(B89="","",E89+F89/60*Settings!$C$8)</f>
        <v/>
      </c>
      <c r="K89" s="34" t="str">
        <f aca="false">IF(OR(B89="",G89=0),"",(G89-J89)/G89)</f>
        <v/>
      </c>
      <c r="L89" s="35" t="str">
        <f aca="false">IF(B89="","",SUMIFS(Production!$E$7:$E$204,Production!$C$7:$C$204,B89,Production!$G$7:$G$204,"Done"))</f>
        <v/>
      </c>
      <c r="M89" s="35" t="str">
        <f aca="false">IF(B89="","",SUMIFS(Sales!$E$7:$E$504,Sales!$C$7:$C$504,B89))</f>
        <v/>
      </c>
      <c r="N89" s="35" t="str">
        <f aca="false">IF(B89="","",H89+L89-M89)</f>
        <v/>
      </c>
      <c r="O89" s="35" t="str">
        <f aca="false">IF(B89="","",SUMIFS(Sales!$E$7:$E$504,Sales!$C$7:$C$504,B89,Sales!$B$7:$B$504,"&gt;="&amp;Settings!$C$10,Sales!$B$7:$B$504,"&lt;="&amp;Settings!$C$11))</f>
        <v/>
      </c>
      <c r="P89" s="36" t="str">
        <f aca="false">IF(OR(B89="",O89=0),"",MAX(N89,0)/(O89/MAX(1,Settings!$C$11-Settings!$C$10)))</f>
        <v/>
      </c>
      <c r="Q89" s="37" t="str">
        <f aca="false">IF(B89="","",IF(N89&lt;=0,"Out of stock",IF(N89&lt;=I89,"Restock","OK")))</f>
        <v/>
      </c>
      <c r="R89" s="33" t="str">
        <f aca="false">IF(B89="","",MAX(N89,0)*J89)</f>
        <v/>
      </c>
      <c r="S89" s="1"/>
    </row>
    <row r="90" customFormat="false" ht="21.75" hidden="false" customHeight="true" outlineLevel="0" collapsed="false">
      <c r="A90" s="1"/>
      <c r="B90" s="31"/>
      <c r="C90" s="31"/>
      <c r="D90" s="31"/>
      <c r="E90" s="32"/>
      <c r="F90" s="31"/>
      <c r="G90" s="32"/>
      <c r="H90" s="31"/>
      <c r="I90" s="31"/>
      <c r="J90" s="33" t="str">
        <f aca="false">IF(B90="","",E90+F90/60*Settings!$C$8)</f>
        <v/>
      </c>
      <c r="K90" s="34" t="str">
        <f aca="false">IF(OR(B90="",G90=0),"",(G90-J90)/G90)</f>
        <v/>
      </c>
      <c r="L90" s="35" t="str">
        <f aca="false">IF(B90="","",SUMIFS(Production!$E$7:$E$204,Production!$C$7:$C$204,B90,Production!$G$7:$G$204,"Done"))</f>
        <v/>
      </c>
      <c r="M90" s="35" t="str">
        <f aca="false">IF(B90="","",SUMIFS(Sales!$E$7:$E$504,Sales!$C$7:$C$504,B90))</f>
        <v/>
      </c>
      <c r="N90" s="35" t="str">
        <f aca="false">IF(B90="","",H90+L90-M90)</f>
        <v/>
      </c>
      <c r="O90" s="35" t="str">
        <f aca="false">IF(B90="","",SUMIFS(Sales!$E$7:$E$504,Sales!$C$7:$C$504,B90,Sales!$B$7:$B$504,"&gt;="&amp;Settings!$C$10,Sales!$B$7:$B$504,"&lt;="&amp;Settings!$C$11))</f>
        <v/>
      </c>
      <c r="P90" s="36" t="str">
        <f aca="false">IF(OR(B90="",O90=0),"",MAX(N90,0)/(O90/MAX(1,Settings!$C$11-Settings!$C$10)))</f>
        <v/>
      </c>
      <c r="Q90" s="37" t="str">
        <f aca="false">IF(B90="","",IF(N90&lt;=0,"Out of stock",IF(N90&lt;=I90,"Restock","OK")))</f>
        <v/>
      </c>
      <c r="R90" s="33" t="str">
        <f aca="false">IF(B90="","",MAX(N90,0)*J90)</f>
        <v/>
      </c>
      <c r="S90" s="1"/>
    </row>
    <row r="91" customFormat="false" ht="21.75" hidden="false" customHeight="true" outlineLevel="0" collapsed="false">
      <c r="A91" s="1"/>
      <c r="B91" s="31"/>
      <c r="C91" s="31"/>
      <c r="D91" s="31"/>
      <c r="E91" s="32"/>
      <c r="F91" s="31"/>
      <c r="G91" s="32"/>
      <c r="H91" s="31"/>
      <c r="I91" s="31"/>
      <c r="J91" s="33" t="str">
        <f aca="false">IF(B91="","",E91+F91/60*Settings!$C$8)</f>
        <v/>
      </c>
      <c r="K91" s="34" t="str">
        <f aca="false">IF(OR(B91="",G91=0),"",(G91-J91)/G91)</f>
        <v/>
      </c>
      <c r="L91" s="35" t="str">
        <f aca="false">IF(B91="","",SUMIFS(Production!$E$7:$E$204,Production!$C$7:$C$204,B91,Production!$G$7:$G$204,"Done"))</f>
        <v/>
      </c>
      <c r="M91" s="35" t="str">
        <f aca="false">IF(B91="","",SUMIFS(Sales!$E$7:$E$504,Sales!$C$7:$C$504,B91))</f>
        <v/>
      </c>
      <c r="N91" s="35" t="str">
        <f aca="false">IF(B91="","",H91+L91-M91)</f>
        <v/>
      </c>
      <c r="O91" s="35" t="str">
        <f aca="false">IF(B91="","",SUMIFS(Sales!$E$7:$E$504,Sales!$C$7:$C$504,B91,Sales!$B$7:$B$504,"&gt;="&amp;Settings!$C$10,Sales!$B$7:$B$504,"&lt;="&amp;Settings!$C$11))</f>
        <v/>
      </c>
      <c r="P91" s="36" t="str">
        <f aca="false">IF(OR(B91="",O91=0),"",MAX(N91,0)/(O91/MAX(1,Settings!$C$11-Settings!$C$10)))</f>
        <v/>
      </c>
      <c r="Q91" s="37" t="str">
        <f aca="false">IF(B91="","",IF(N91&lt;=0,"Out of stock",IF(N91&lt;=I91,"Restock","OK")))</f>
        <v/>
      </c>
      <c r="R91" s="33" t="str">
        <f aca="false">IF(B91="","",MAX(N91,0)*J91)</f>
        <v/>
      </c>
      <c r="S91" s="1"/>
    </row>
    <row r="92" customFormat="false" ht="21.75" hidden="false" customHeight="true" outlineLevel="0" collapsed="false">
      <c r="A92" s="1"/>
      <c r="B92" s="31"/>
      <c r="C92" s="31"/>
      <c r="D92" s="31"/>
      <c r="E92" s="32"/>
      <c r="F92" s="31"/>
      <c r="G92" s="32"/>
      <c r="H92" s="31"/>
      <c r="I92" s="31"/>
      <c r="J92" s="33" t="str">
        <f aca="false">IF(B92="","",E92+F92/60*Settings!$C$8)</f>
        <v/>
      </c>
      <c r="K92" s="34" t="str">
        <f aca="false">IF(OR(B92="",G92=0),"",(G92-J92)/G92)</f>
        <v/>
      </c>
      <c r="L92" s="35" t="str">
        <f aca="false">IF(B92="","",SUMIFS(Production!$E$7:$E$204,Production!$C$7:$C$204,B92,Production!$G$7:$G$204,"Done"))</f>
        <v/>
      </c>
      <c r="M92" s="35" t="str">
        <f aca="false">IF(B92="","",SUMIFS(Sales!$E$7:$E$504,Sales!$C$7:$C$504,B92))</f>
        <v/>
      </c>
      <c r="N92" s="35" t="str">
        <f aca="false">IF(B92="","",H92+L92-M92)</f>
        <v/>
      </c>
      <c r="O92" s="35" t="str">
        <f aca="false">IF(B92="","",SUMIFS(Sales!$E$7:$E$504,Sales!$C$7:$C$504,B92,Sales!$B$7:$B$504,"&gt;="&amp;Settings!$C$10,Sales!$B$7:$B$504,"&lt;="&amp;Settings!$C$11))</f>
        <v/>
      </c>
      <c r="P92" s="36" t="str">
        <f aca="false">IF(OR(B92="",O92=0),"",MAX(N92,0)/(O92/MAX(1,Settings!$C$11-Settings!$C$10)))</f>
        <v/>
      </c>
      <c r="Q92" s="37" t="str">
        <f aca="false">IF(B92="","",IF(N92&lt;=0,"Out of stock",IF(N92&lt;=I92,"Restock","OK")))</f>
        <v/>
      </c>
      <c r="R92" s="33" t="str">
        <f aca="false">IF(B92="","",MAX(N92,0)*J92)</f>
        <v/>
      </c>
      <c r="S92" s="1"/>
    </row>
    <row r="93" customFormat="false" ht="21.75" hidden="false" customHeight="true" outlineLevel="0" collapsed="false">
      <c r="A93" s="1"/>
      <c r="B93" s="31"/>
      <c r="C93" s="31"/>
      <c r="D93" s="31"/>
      <c r="E93" s="32"/>
      <c r="F93" s="31"/>
      <c r="G93" s="32"/>
      <c r="H93" s="31"/>
      <c r="I93" s="31"/>
      <c r="J93" s="33" t="str">
        <f aca="false">IF(B93="","",E93+F93/60*Settings!$C$8)</f>
        <v/>
      </c>
      <c r="K93" s="34" t="str">
        <f aca="false">IF(OR(B93="",G93=0),"",(G93-J93)/G93)</f>
        <v/>
      </c>
      <c r="L93" s="35" t="str">
        <f aca="false">IF(B93="","",SUMIFS(Production!$E$7:$E$204,Production!$C$7:$C$204,B93,Production!$G$7:$G$204,"Done"))</f>
        <v/>
      </c>
      <c r="M93" s="35" t="str">
        <f aca="false">IF(B93="","",SUMIFS(Sales!$E$7:$E$504,Sales!$C$7:$C$504,B93))</f>
        <v/>
      </c>
      <c r="N93" s="35" t="str">
        <f aca="false">IF(B93="","",H93+L93-M93)</f>
        <v/>
      </c>
      <c r="O93" s="35" t="str">
        <f aca="false">IF(B93="","",SUMIFS(Sales!$E$7:$E$504,Sales!$C$7:$C$504,B93,Sales!$B$7:$B$504,"&gt;="&amp;Settings!$C$10,Sales!$B$7:$B$504,"&lt;="&amp;Settings!$C$11))</f>
        <v/>
      </c>
      <c r="P93" s="36" t="str">
        <f aca="false">IF(OR(B93="",O93=0),"",MAX(N93,0)/(O93/MAX(1,Settings!$C$11-Settings!$C$10)))</f>
        <v/>
      </c>
      <c r="Q93" s="37" t="str">
        <f aca="false">IF(B93="","",IF(N93&lt;=0,"Out of stock",IF(N93&lt;=I93,"Restock","OK")))</f>
        <v/>
      </c>
      <c r="R93" s="33" t="str">
        <f aca="false">IF(B93="","",MAX(N93,0)*J93)</f>
        <v/>
      </c>
      <c r="S93" s="1"/>
    </row>
    <row r="94" customFormat="false" ht="21.75" hidden="false" customHeight="true" outlineLevel="0" collapsed="false">
      <c r="A94" s="1"/>
      <c r="B94" s="31"/>
      <c r="C94" s="31"/>
      <c r="D94" s="31"/>
      <c r="E94" s="32"/>
      <c r="F94" s="31"/>
      <c r="G94" s="32"/>
      <c r="H94" s="31"/>
      <c r="I94" s="31"/>
      <c r="J94" s="33" t="str">
        <f aca="false">IF(B94="","",E94+F94/60*Settings!$C$8)</f>
        <v/>
      </c>
      <c r="K94" s="34" t="str">
        <f aca="false">IF(OR(B94="",G94=0),"",(G94-J94)/G94)</f>
        <v/>
      </c>
      <c r="L94" s="35" t="str">
        <f aca="false">IF(B94="","",SUMIFS(Production!$E$7:$E$204,Production!$C$7:$C$204,B94,Production!$G$7:$G$204,"Done"))</f>
        <v/>
      </c>
      <c r="M94" s="35" t="str">
        <f aca="false">IF(B94="","",SUMIFS(Sales!$E$7:$E$504,Sales!$C$7:$C$504,B94))</f>
        <v/>
      </c>
      <c r="N94" s="35" t="str">
        <f aca="false">IF(B94="","",H94+L94-M94)</f>
        <v/>
      </c>
      <c r="O94" s="35" t="str">
        <f aca="false">IF(B94="","",SUMIFS(Sales!$E$7:$E$504,Sales!$C$7:$C$504,B94,Sales!$B$7:$B$504,"&gt;="&amp;Settings!$C$10,Sales!$B$7:$B$504,"&lt;="&amp;Settings!$C$11))</f>
        <v/>
      </c>
      <c r="P94" s="36" t="str">
        <f aca="false">IF(OR(B94="",O94=0),"",MAX(N94,0)/(O94/MAX(1,Settings!$C$11-Settings!$C$10)))</f>
        <v/>
      </c>
      <c r="Q94" s="37" t="str">
        <f aca="false">IF(B94="","",IF(N94&lt;=0,"Out of stock",IF(N94&lt;=I94,"Restock","OK")))</f>
        <v/>
      </c>
      <c r="R94" s="33" t="str">
        <f aca="false">IF(B94="","",MAX(N94,0)*J94)</f>
        <v/>
      </c>
      <c r="S94" s="1"/>
    </row>
    <row r="95" customFormat="false" ht="21.75" hidden="false" customHeight="true" outlineLevel="0" collapsed="false">
      <c r="A95" s="1"/>
      <c r="B95" s="31"/>
      <c r="C95" s="31"/>
      <c r="D95" s="31"/>
      <c r="E95" s="32"/>
      <c r="F95" s="31"/>
      <c r="G95" s="32"/>
      <c r="H95" s="31"/>
      <c r="I95" s="31"/>
      <c r="J95" s="33" t="str">
        <f aca="false">IF(B95="","",E95+F95/60*Settings!$C$8)</f>
        <v/>
      </c>
      <c r="K95" s="34" t="str">
        <f aca="false">IF(OR(B95="",G95=0),"",(G95-J95)/G95)</f>
        <v/>
      </c>
      <c r="L95" s="35" t="str">
        <f aca="false">IF(B95="","",SUMIFS(Production!$E$7:$E$204,Production!$C$7:$C$204,B95,Production!$G$7:$G$204,"Done"))</f>
        <v/>
      </c>
      <c r="M95" s="35" t="str">
        <f aca="false">IF(B95="","",SUMIFS(Sales!$E$7:$E$504,Sales!$C$7:$C$504,B95))</f>
        <v/>
      </c>
      <c r="N95" s="35" t="str">
        <f aca="false">IF(B95="","",H95+L95-M95)</f>
        <v/>
      </c>
      <c r="O95" s="35" t="str">
        <f aca="false">IF(B95="","",SUMIFS(Sales!$E$7:$E$504,Sales!$C$7:$C$504,B95,Sales!$B$7:$B$504,"&gt;="&amp;Settings!$C$10,Sales!$B$7:$B$504,"&lt;="&amp;Settings!$C$11))</f>
        <v/>
      </c>
      <c r="P95" s="36" t="str">
        <f aca="false">IF(OR(B95="",O95=0),"",MAX(N95,0)/(O95/MAX(1,Settings!$C$11-Settings!$C$10)))</f>
        <v/>
      </c>
      <c r="Q95" s="37" t="str">
        <f aca="false">IF(B95="","",IF(N95&lt;=0,"Out of stock",IF(N95&lt;=I95,"Restock","OK")))</f>
        <v/>
      </c>
      <c r="R95" s="33" t="str">
        <f aca="false">IF(B95="","",MAX(N95,0)*J95)</f>
        <v/>
      </c>
      <c r="S95" s="1"/>
    </row>
    <row r="96" customFormat="false" ht="21.75" hidden="false" customHeight="true" outlineLevel="0" collapsed="false">
      <c r="A96" s="1"/>
      <c r="B96" s="31"/>
      <c r="C96" s="31"/>
      <c r="D96" s="31"/>
      <c r="E96" s="32"/>
      <c r="F96" s="31"/>
      <c r="G96" s="32"/>
      <c r="H96" s="31"/>
      <c r="I96" s="31"/>
      <c r="J96" s="33" t="str">
        <f aca="false">IF(B96="","",E96+F96/60*Settings!$C$8)</f>
        <v/>
      </c>
      <c r="K96" s="34" t="str">
        <f aca="false">IF(OR(B96="",G96=0),"",(G96-J96)/G96)</f>
        <v/>
      </c>
      <c r="L96" s="35" t="str">
        <f aca="false">IF(B96="","",SUMIFS(Production!$E$7:$E$204,Production!$C$7:$C$204,B96,Production!$G$7:$G$204,"Done"))</f>
        <v/>
      </c>
      <c r="M96" s="35" t="str">
        <f aca="false">IF(B96="","",SUMIFS(Sales!$E$7:$E$504,Sales!$C$7:$C$504,B96))</f>
        <v/>
      </c>
      <c r="N96" s="35" t="str">
        <f aca="false">IF(B96="","",H96+L96-M96)</f>
        <v/>
      </c>
      <c r="O96" s="35" t="str">
        <f aca="false">IF(B96="","",SUMIFS(Sales!$E$7:$E$504,Sales!$C$7:$C$504,B96,Sales!$B$7:$B$504,"&gt;="&amp;Settings!$C$10,Sales!$B$7:$B$504,"&lt;="&amp;Settings!$C$11))</f>
        <v/>
      </c>
      <c r="P96" s="36" t="str">
        <f aca="false">IF(OR(B96="",O96=0),"",MAX(N96,0)/(O96/MAX(1,Settings!$C$11-Settings!$C$10)))</f>
        <v/>
      </c>
      <c r="Q96" s="37" t="str">
        <f aca="false">IF(B96="","",IF(N96&lt;=0,"Out of stock",IF(N96&lt;=I96,"Restock","OK")))</f>
        <v/>
      </c>
      <c r="R96" s="33" t="str">
        <f aca="false">IF(B96="","",MAX(N96,0)*J96)</f>
        <v/>
      </c>
      <c r="S96" s="1"/>
    </row>
    <row r="97" customFormat="false" ht="21.75" hidden="false" customHeight="true" outlineLevel="0" collapsed="false">
      <c r="A97" s="1"/>
      <c r="B97" s="31"/>
      <c r="C97" s="31"/>
      <c r="D97" s="31"/>
      <c r="E97" s="32"/>
      <c r="F97" s="31"/>
      <c r="G97" s="32"/>
      <c r="H97" s="31"/>
      <c r="I97" s="31"/>
      <c r="J97" s="33" t="str">
        <f aca="false">IF(B97="","",E97+F97/60*Settings!$C$8)</f>
        <v/>
      </c>
      <c r="K97" s="34" t="str">
        <f aca="false">IF(OR(B97="",G97=0),"",(G97-J97)/G97)</f>
        <v/>
      </c>
      <c r="L97" s="35" t="str">
        <f aca="false">IF(B97="","",SUMIFS(Production!$E$7:$E$204,Production!$C$7:$C$204,B97,Production!$G$7:$G$204,"Done"))</f>
        <v/>
      </c>
      <c r="M97" s="35" t="str">
        <f aca="false">IF(B97="","",SUMIFS(Sales!$E$7:$E$504,Sales!$C$7:$C$504,B97))</f>
        <v/>
      </c>
      <c r="N97" s="35" t="str">
        <f aca="false">IF(B97="","",H97+L97-M97)</f>
        <v/>
      </c>
      <c r="O97" s="35" t="str">
        <f aca="false">IF(B97="","",SUMIFS(Sales!$E$7:$E$504,Sales!$C$7:$C$504,B97,Sales!$B$7:$B$504,"&gt;="&amp;Settings!$C$10,Sales!$B$7:$B$504,"&lt;="&amp;Settings!$C$11))</f>
        <v/>
      </c>
      <c r="P97" s="36" t="str">
        <f aca="false">IF(OR(B97="",O97=0),"",MAX(N97,0)/(O97/MAX(1,Settings!$C$11-Settings!$C$10)))</f>
        <v/>
      </c>
      <c r="Q97" s="37" t="str">
        <f aca="false">IF(B97="","",IF(N97&lt;=0,"Out of stock",IF(N97&lt;=I97,"Restock","OK")))</f>
        <v/>
      </c>
      <c r="R97" s="33" t="str">
        <f aca="false">IF(B97="","",MAX(N97,0)*J97)</f>
        <v/>
      </c>
      <c r="S97" s="1"/>
    </row>
    <row r="98" customFormat="false" ht="21.75" hidden="false" customHeight="true" outlineLevel="0" collapsed="false">
      <c r="A98" s="1"/>
      <c r="B98" s="31"/>
      <c r="C98" s="31"/>
      <c r="D98" s="31"/>
      <c r="E98" s="32"/>
      <c r="F98" s="31"/>
      <c r="G98" s="32"/>
      <c r="H98" s="31"/>
      <c r="I98" s="31"/>
      <c r="J98" s="33" t="str">
        <f aca="false">IF(B98="","",E98+F98/60*Settings!$C$8)</f>
        <v/>
      </c>
      <c r="K98" s="34" t="str">
        <f aca="false">IF(OR(B98="",G98=0),"",(G98-J98)/G98)</f>
        <v/>
      </c>
      <c r="L98" s="35" t="str">
        <f aca="false">IF(B98="","",SUMIFS(Production!$E$7:$E$204,Production!$C$7:$C$204,B98,Production!$G$7:$G$204,"Done"))</f>
        <v/>
      </c>
      <c r="M98" s="35" t="str">
        <f aca="false">IF(B98="","",SUMIFS(Sales!$E$7:$E$504,Sales!$C$7:$C$504,B98))</f>
        <v/>
      </c>
      <c r="N98" s="35" t="str">
        <f aca="false">IF(B98="","",H98+L98-M98)</f>
        <v/>
      </c>
      <c r="O98" s="35" t="str">
        <f aca="false">IF(B98="","",SUMIFS(Sales!$E$7:$E$504,Sales!$C$7:$C$504,B98,Sales!$B$7:$B$504,"&gt;="&amp;Settings!$C$10,Sales!$B$7:$B$504,"&lt;="&amp;Settings!$C$11))</f>
        <v/>
      </c>
      <c r="P98" s="36" t="str">
        <f aca="false">IF(OR(B98="",O98=0),"",MAX(N98,0)/(O98/MAX(1,Settings!$C$11-Settings!$C$10)))</f>
        <v/>
      </c>
      <c r="Q98" s="37" t="str">
        <f aca="false">IF(B98="","",IF(N98&lt;=0,"Out of stock",IF(N98&lt;=I98,"Restock","OK")))</f>
        <v/>
      </c>
      <c r="R98" s="33" t="str">
        <f aca="false">IF(B98="","",MAX(N98,0)*J98)</f>
        <v/>
      </c>
      <c r="S98" s="1"/>
    </row>
    <row r="99" customFormat="false" ht="21.75" hidden="false" customHeight="true" outlineLevel="0" collapsed="false">
      <c r="A99" s="1"/>
      <c r="B99" s="31"/>
      <c r="C99" s="31"/>
      <c r="D99" s="31"/>
      <c r="E99" s="32"/>
      <c r="F99" s="31"/>
      <c r="G99" s="32"/>
      <c r="H99" s="31"/>
      <c r="I99" s="31"/>
      <c r="J99" s="33" t="str">
        <f aca="false">IF(B99="","",E99+F99/60*Settings!$C$8)</f>
        <v/>
      </c>
      <c r="K99" s="34" t="str">
        <f aca="false">IF(OR(B99="",G99=0),"",(G99-J99)/G99)</f>
        <v/>
      </c>
      <c r="L99" s="35" t="str">
        <f aca="false">IF(B99="","",SUMIFS(Production!$E$7:$E$204,Production!$C$7:$C$204,B99,Production!$G$7:$G$204,"Done"))</f>
        <v/>
      </c>
      <c r="M99" s="35" t="str">
        <f aca="false">IF(B99="","",SUMIFS(Sales!$E$7:$E$504,Sales!$C$7:$C$504,B99))</f>
        <v/>
      </c>
      <c r="N99" s="35" t="str">
        <f aca="false">IF(B99="","",H99+L99-M99)</f>
        <v/>
      </c>
      <c r="O99" s="35" t="str">
        <f aca="false">IF(B99="","",SUMIFS(Sales!$E$7:$E$504,Sales!$C$7:$C$504,B99,Sales!$B$7:$B$504,"&gt;="&amp;Settings!$C$10,Sales!$B$7:$B$504,"&lt;="&amp;Settings!$C$11))</f>
        <v/>
      </c>
      <c r="P99" s="36" t="str">
        <f aca="false">IF(OR(B99="",O99=0),"",MAX(N99,0)/(O99/MAX(1,Settings!$C$11-Settings!$C$10)))</f>
        <v/>
      </c>
      <c r="Q99" s="37" t="str">
        <f aca="false">IF(B99="","",IF(N99&lt;=0,"Out of stock",IF(N99&lt;=I99,"Restock","OK")))</f>
        <v/>
      </c>
      <c r="R99" s="33" t="str">
        <f aca="false">IF(B99="","",MAX(N99,0)*J99)</f>
        <v/>
      </c>
      <c r="S99" s="1"/>
    </row>
    <row r="100" customFormat="false" ht="21.75" hidden="false" customHeight="true" outlineLevel="0" collapsed="false">
      <c r="A100" s="1"/>
      <c r="B100" s="31"/>
      <c r="C100" s="31"/>
      <c r="D100" s="31"/>
      <c r="E100" s="32"/>
      <c r="F100" s="31"/>
      <c r="G100" s="32"/>
      <c r="H100" s="31"/>
      <c r="I100" s="31"/>
      <c r="J100" s="33" t="str">
        <f aca="false">IF(B100="","",E100+F100/60*Settings!$C$8)</f>
        <v/>
      </c>
      <c r="K100" s="34" t="str">
        <f aca="false">IF(OR(B100="",G100=0),"",(G100-J100)/G100)</f>
        <v/>
      </c>
      <c r="L100" s="35" t="str">
        <f aca="false">IF(B100="","",SUMIFS(Production!$E$7:$E$204,Production!$C$7:$C$204,B100,Production!$G$7:$G$204,"Done"))</f>
        <v/>
      </c>
      <c r="M100" s="35" t="str">
        <f aca="false">IF(B100="","",SUMIFS(Sales!$E$7:$E$504,Sales!$C$7:$C$504,B100))</f>
        <v/>
      </c>
      <c r="N100" s="35" t="str">
        <f aca="false">IF(B100="","",H100+L100-M100)</f>
        <v/>
      </c>
      <c r="O100" s="35" t="str">
        <f aca="false">IF(B100="","",SUMIFS(Sales!$E$7:$E$504,Sales!$C$7:$C$504,B100,Sales!$B$7:$B$504,"&gt;="&amp;Settings!$C$10,Sales!$B$7:$B$504,"&lt;="&amp;Settings!$C$11))</f>
        <v/>
      </c>
      <c r="P100" s="36" t="str">
        <f aca="false">IF(OR(B100="",O100=0),"",MAX(N100,0)/(O100/MAX(1,Settings!$C$11-Settings!$C$10)))</f>
        <v/>
      </c>
      <c r="Q100" s="37" t="str">
        <f aca="false">IF(B100="","",IF(N100&lt;=0,"Out of stock",IF(N100&lt;=I100,"Restock","OK")))</f>
        <v/>
      </c>
      <c r="R100" s="33" t="str">
        <f aca="false">IF(B100="","",MAX(N100,0)*J100)</f>
        <v/>
      </c>
      <c r="S100" s="1"/>
    </row>
    <row r="101" customFormat="false" ht="21.75" hidden="false" customHeight="true" outlineLevel="0" collapsed="false">
      <c r="A101" s="1"/>
      <c r="B101" s="31"/>
      <c r="C101" s="31"/>
      <c r="D101" s="31"/>
      <c r="E101" s="32"/>
      <c r="F101" s="31"/>
      <c r="G101" s="32"/>
      <c r="H101" s="31"/>
      <c r="I101" s="31"/>
      <c r="J101" s="33" t="str">
        <f aca="false">IF(B101="","",E101+F101/60*Settings!$C$8)</f>
        <v/>
      </c>
      <c r="K101" s="34" t="str">
        <f aca="false">IF(OR(B101="",G101=0),"",(G101-J101)/G101)</f>
        <v/>
      </c>
      <c r="L101" s="35" t="str">
        <f aca="false">IF(B101="","",SUMIFS(Production!$E$7:$E$204,Production!$C$7:$C$204,B101,Production!$G$7:$G$204,"Done"))</f>
        <v/>
      </c>
      <c r="M101" s="35" t="str">
        <f aca="false">IF(B101="","",SUMIFS(Sales!$E$7:$E$504,Sales!$C$7:$C$504,B101))</f>
        <v/>
      </c>
      <c r="N101" s="35" t="str">
        <f aca="false">IF(B101="","",H101+L101-M101)</f>
        <v/>
      </c>
      <c r="O101" s="35" t="str">
        <f aca="false">IF(B101="","",SUMIFS(Sales!$E$7:$E$504,Sales!$C$7:$C$504,B101,Sales!$B$7:$B$504,"&gt;="&amp;Settings!$C$10,Sales!$B$7:$B$504,"&lt;="&amp;Settings!$C$11))</f>
        <v/>
      </c>
      <c r="P101" s="36" t="str">
        <f aca="false">IF(OR(B101="",O101=0),"",MAX(N101,0)/(O101/MAX(1,Settings!$C$11-Settings!$C$10)))</f>
        <v/>
      </c>
      <c r="Q101" s="37" t="str">
        <f aca="false">IF(B101="","",IF(N101&lt;=0,"Out of stock",IF(N101&lt;=I101,"Restock","OK")))</f>
        <v/>
      </c>
      <c r="R101" s="33" t="str">
        <f aca="false">IF(B101="","",MAX(N101,0)*J101)</f>
        <v/>
      </c>
      <c r="S101" s="1"/>
    </row>
    <row r="102" customFormat="false" ht="21.75" hidden="false" customHeight="true" outlineLevel="0" collapsed="false">
      <c r="A102" s="1"/>
      <c r="B102" s="31"/>
      <c r="C102" s="31"/>
      <c r="D102" s="31"/>
      <c r="E102" s="32"/>
      <c r="F102" s="31"/>
      <c r="G102" s="32"/>
      <c r="H102" s="31"/>
      <c r="I102" s="31"/>
      <c r="J102" s="33" t="str">
        <f aca="false">IF(B102="","",E102+F102/60*Settings!$C$8)</f>
        <v/>
      </c>
      <c r="K102" s="34" t="str">
        <f aca="false">IF(OR(B102="",G102=0),"",(G102-J102)/G102)</f>
        <v/>
      </c>
      <c r="L102" s="35" t="str">
        <f aca="false">IF(B102="","",SUMIFS(Production!$E$7:$E$204,Production!$C$7:$C$204,B102,Production!$G$7:$G$204,"Done"))</f>
        <v/>
      </c>
      <c r="M102" s="35" t="str">
        <f aca="false">IF(B102="","",SUMIFS(Sales!$E$7:$E$504,Sales!$C$7:$C$504,B102))</f>
        <v/>
      </c>
      <c r="N102" s="35" t="str">
        <f aca="false">IF(B102="","",H102+L102-M102)</f>
        <v/>
      </c>
      <c r="O102" s="35" t="str">
        <f aca="false">IF(B102="","",SUMIFS(Sales!$E$7:$E$504,Sales!$C$7:$C$504,B102,Sales!$B$7:$B$504,"&gt;="&amp;Settings!$C$10,Sales!$B$7:$B$504,"&lt;="&amp;Settings!$C$11))</f>
        <v/>
      </c>
      <c r="P102" s="36" t="str">
        <f aca="false">IF(OR(B102="",O102=0),"",MAX(N102,0)/(O102/MAX(1,Settings!$C$11-Settings!$C$10)))</f>
        <v/>
      </c>
      <c r="Q102" s="37" t="str">
        <f aca="false">IF(B102="","",IF(N102&lt;=0,"Out of stock",IF(N102&lt;=I102,"Restock","OK")))</f>
        <v/>
      </c>
      <c r="R102" s="33" t="str">
        <f aca="false">IF(B102="","",MAX(N102,0)*J102)</f>
        <v/>
      </c>
      <c r="S102" s="1"/>
    </row>
    <row r="103" customFormat="false" ht="21.75" hidden="false" customHeight="true" outlineLevel="0" collapsed="false">
      <c r="A103" s="1"/>
      <c r="B103" s="31"/>
      <c r="C103" s="31"/>
      <c r="D103" s="31"/>
      <c r="E103" s="32"/>
      <c r="F103" s="31"/>
      <c r="G103" s="32"/>
      <c r="H103" s="31"/>
      <c r="I103" s="31"/>
      <c r="J103" s="33" t="str">
        <f aca="false">IF(B103="","",E103+F103/60*Settings!$C$8)</f>
        <v/>
      </c>
      <c r="K103" s="34" t="str">
        <f aca="false">IF(OR(B103="",G103=0),"",(G103-J103)/G103)</f>
        <v/>
      </c>
      <c r="L103" s="35" t="str">
        <f aca="false">IF(B103="","",SUMIFS(Production!$E$7:$E$204,Production!$C$7:$C$204,B103,Production!$G$7:$G$204,"Done"))</f>
        <v/>
      </c>
      <c r="M103" s="35" t="str">
        <f aca="false">IF(B103="","",SUMIFS(Sales!$E$7:$E$504,Sales!$C$7:$C$504,B103))</f>
        <v/>
      </c>
      <c r="N103" s="35" t="str">
        <f aca="false">IF(B103="","",H103+L103-M103)</f>
        <v/>
      </c>
      <c r="O103" s="35" t="str">
        <f aca="false">IF(B103="","",SUMIFS(Sales!$E$7:$E$504,Sales!$C$7:$C$504,B103,Sales!$B$7:$B$504,"&gt;="&amp;Settings!$C$10,Sales!$B$7:$B$504,"&lt;="&amp;Settings!$C$11))</f>
        <v/>
      </c>
      <c r="P103" s="36" t="str">
        <f aca="false">IF(OR(B103="",O103=0),"",MAX(N103,0)/(O103/MAX(1,Settings!$C$11-Settings!$C$10)))</f>
        <v/>
      </c>
      <c r="Q103" s="37" t="str">
        <f aca="false">IF(B103="","",IF(N103&lt;=0,"Out of stock",IF(N103&lt;=I103,"Restock","OK")))</f>
        <v/>
      </c>
      <c r="R103" s="33" t="str">
        <f aca="false">IF(B103="","",MAX(N103,0)*J103)</f>
        <v/>
      </c>
      <c r="S103" s="1"/>
    </row>
    <row r="104" customFormat="false" ht="21.75" hidden="false" customHeight="true" outlineLevel="0" collapsed="false">
      <c r="A104" s="1"/>
      <c r="B104" s="31"/>
      <c r="C104" s="31"/>
      <c r="D104" s="31"/>
      <c r="E104" s="32"/>
      <c r="F104" s="31"/>
      <c r="G104" s="32"/>
      <c r="H104" s="31"/>
      <c r="I104" s="31"/>
      <c r="J104" s="33" t="str">
        <f aca="false">IF(B104="","",E104+F104/60*Settings!$C$8)</f>
        <v/>
      </c>
      <c r="K104" s="34" t="str">
        <f aca="false">IF(OR(B104="",G104=0),"",(G104-J104)/G104)</f>
        <v/>
      </c>
      <c r="L104" s="35" t="str">
        <f aca="false">IF(B104="","",SUMIFS(Production!$E$7:$E$204,Production!$C$7:$C$204,B104,Production!$G$7:$G$204,"Done"))</f>
        <v/>
      </c>
      <c r="M104" s="35" t="str">
        <f aca="false">IF(B104="","",SUMIFS(Sales!$E$7:$E$504,Sales!$C$7:$C$504,B104))</f>
        <v/>
      </c>
      <c r="N104" s="35" t="str">
        <f aca="false">IF(B104="","",H104+L104-M104)</f>
        <v/>
      </c>
      <c r="O104" s="35" t="str">
        <f aca="false">IF(B104="","",SUMIFS(Sales!$E$7:$E$504,Sales!$C$7:$C$504,B104,Sales!$B$7:$B$504,"&gt;="&amp;Settings!$C$10,Sales!$B$7:$B$504,"&lt;="&amp;Settings!$C$11))</f>
        <v/>
      </c>
      <c r="P104" s="36" t="str">
        <f aca="false">IF(OR(B104="",O104=0),"",MAX(N104,0)/(O104/MAX(1,Settings!$C$11-Settings!$C$10)))</f>
        <v/>
      </c>
      <c r="Q104" s="37" t="str">
        <f aca="false">IF(B104="","",IF(N104&lt;=0,"Out of stock",IF(N104&lt;=I104,"Restock","OK")))</f>
        <v/>
      </c>
      <c r="R104" s="33" t="str">
        <f aca="false">IF(B104="","",MAX(N104,0)*J104)</f>
        <v/>
      </c>
      <c r="S104" s="1"/>
    </row>
    <row r="105" customFormat="false" ht="21.75" hidden="false" customHeight="true" outlineLevel="0" collapsed="false">
      <c r="A105" s="1"/>
      <c r="B105" s="1"/>
      <c r="C105" s="1"/>
      <c r="D105" s="1"/>
      <c r="E105" s="1"/>
      <c r="F105" s="1"/>
      <c r="G105" s="1"/>
      <c r="H105" s="1"/>
      <c r="I105" s="1"/>
      <c r="J105" s="1"/>
      <c r="K105" s="1"/>
      <c r="L105" s="1"/>
      <c r="M105" s="1"/>
      <c r="N105" s="1"/>
      <c r="O105" s="1"/>
      <c r="P105" s="1"/>
      <c r="Q105" s="1"/>
      <c r="R105" s="1"/>
      <c r="S105" s="1"/>
    </row>
    <row r="106" customFormat="false" ht="21.75" hidden="false" customHeight="true" outlineLevel="0" collapsed="false">
      <c r="A106" s="1"/>
      <c r="B106" s="1"/>
      <c r="C106" s="1"/>
      <c r="D106" s="1"/>
      <c r="E106" s="1"/>
      <c r="F106" s="1"/>
      <c r="G106" s="1"/>
      <c r="H106" s="1"/>
      <c r="I106" s="1"/>
      <c r="J106" s="1"/>
      <c r="K106" s="1"/>
      <c r="L106" s="1"/>
      <c r="M106" s="1"/>
      <c r="N106" s="1"/>
      <c r="O106" s="1"/>
      <c r="P106" s="1"/>
      <c r="Q106" s="1"/>
      <c r="R106" s="1"/>
      <c r="S106" s="1"/>
    </row>
  </sheetData>
  <sheetProtection sheet="true" formatColumns="false" formatRows="false" sort="false" autoFilter="false"/>
  <autoFilter ref="B6:R104"/>
  <conditionalFormatting sqref="N7:N104">
    <cfRule type="dataBar" priority="2">
      <dataBar showValue="1" minLength="10" maxLength="90">
        <cfvo type="num" val="0"/>
        <cfvo type="max" val="0"/>
        <color rgb="FFC9C5BD"/>
      </dataBar>
      <extLst>
        <ext xmlns:x14="http://schemas.microsoft.com/office/spreadsheetml/2009/9/main" uri="{B025F937-C7B1-47D3-B67F-A62EFF666E3E}">
          <x14:id>{79619656-F610-4A99-867F-78A37F34F870}</x14:id>
        </ext>
      </extLst>
    </cfRule>
  </conditionalFormatting>
  <conditionalFormatting sqref="Q7:Q104">
    <cfRule type="expression" priority="3" aboveAverage="0" equalAverage="0" bottom="0" percent="0" rank="0" text="" dxfId="8">
      <formula>Q7="Out of stock"</formula>
    </cfRule>
    <cfRule type="expression" priority="4" aboveAverage="0" equalAverage="0" bottom="0" percent="0" rank="0" text="" dxfId="9">
      <formula>Q7="Restock"</formula>
    </cfRule>
    <cfRule type="expression" priority="5" aboveAverage="0" equalAverage="0" bottom="0" percent="0" rank="0" text="" dxfId="10">
      <formula>Q7="OK"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79619656-F610-4A99-867F-78A37F34F870}">
            <x14:dataBar minLength="10" maxLength="90" axisPosition="none" gradient="true">
              <x14:cfvo type="num">
                <xm:f>0</xm:f>
              </x14:cfvo>
              <x14:cfvo type="max"/>
              <x14:negativeFillColor rgb="FFC9C5BD"/>
              <x14:axisColor rgb="FF000000"/>
            </x14:dataBar>
          </x14:cfRule>
          <xm:sqref>N7:N104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11"/>
    <col collapsed="false" customWidth="true" hidden="false" outlineLevel="0" max="4" min="4" style="0" width="22"/>
    <col collapsed="false" customWidth="true" hidden="false" outlineLevel="0" max="5" min="5" style="0" width="9"/>
    <col collapsed="false" customWidth="true" hidden="false" outlineLevel="0" max="6" min="6" style="0" width="17"/>
    <col collapsed="false" customWidth="true" hidden="false" outlineLevel="0" max="7" min="7" style="0" width="13"/>
    <col collapsed="false" customWidth="true" hidden="false" outlineLevel="0" max="8" min="8" style="0" width="11"/>
    <col collapsed="false" customWidth="true" hidden="false" outlineLevel="0" max="9" min="9" style="0" width="12"/>
  </cols>
  <sheetData>
    <row r="1" customFormat="false" ht="21.75" hidden="false" customHeight="true" outlineLevel="0" collapsed="false">
      <c r="A1" s="1"/>
      <c r="B1" s="1"/>
      <c r="C1" s="1"/>
      <c r="D1" s="1"/>
      <c r="E1" s="1"/>
      <c r="F1" s="1"/>
      <c r="G1" s="1"/>
      <c r="H1" s="1"/>
      <c r="I1" s="1"/>
      <c r="J1" s="1"/>
    </row>
    <row r="2" customFormat="false" ht="21.75" hidden="false" customHeight="true" outlineLevel="0" collapsed="false">
      <c r="A2" s="1"/>
      <c r="B2" s="2" t="s">
        <v>100</v>
      </c>
      <c r="C2" s="1"/>
      <c r="D2" s="1"/>
      <c r="E2" s="1"/>
      <c r="F2" s="1"/>
      <c r="G2" s="1"/>
      <c r="H2" s="1"/>
      <c r="I2" s="1"/>
      <c r="J2" s="1"/>
    </row>
    <row r="3" customFormat="false" ht="39.75" hidden="false" customHeight="true" outlineLevel="0" collapsed="false">
      <c r="A3" s="1"/>
      <c r="B3" s="3" t="s">
        <v>101</v>
      </c>
      <c r="C3" s="1"/>
      <c r="D3" s="1"/>
      <c r="E3" s="1"/>
      <c r="F3" s="1"/>
      <c r="G3" s="1"/>
      <c r="H3" s="1"/>
      <c r="I3" s="1"/>
      <c r="J3" s="1"/>
    </row>
    <row r="4" customFormat="false" ht="21.75" hidden="false" customHeight="true" outlineLevel="0" collapsed="false">
      <c r="A4" s="1"/>
      <c r="B4" s="4" t="s">
        <v>102</v>
      </c>
      <c r="C4" s="1"/>
      <c r="D4" s="1"/>
      <c r="E4" s="1"/>
      <c r="F4" s="1"/>
      <c r="G4" s="1"/>
      <c r="H4" s="1"/>
      <c r="I4" s="1"/>
      <c r="J4" s="1"/>
    </row>
    <row r="5" customFormat="false" ht="21.75" hidden="false" customHeight="true" outlineLevel="0" collapsed="false">
      <c r="A5" s="1"/>
      <c r="B5" s="1"/>
      <c r="C5" s="1"/>
      <c r="D5" s="1"/>
      <c r="E5" s="1"/>
      <c r="F5" s="1"/>
      <c r="G5" s="1"/>
      <c r="H5" s="1"/>
      <c r="I5" s="1"/>
      <c r="J5" s="1"/>
    </row>
    <row r="6" customFormat="false" ht="33.75" hidden="false" customHeight="true" outlineLevel="0" collapsed="false">
      <c r="A6" s="1"/>
      <c r="B6" s="30" t="s">
        <v>103</v>
      </c>
      <c r="C6" s="30" t="s">
        <v>67</v>
      </c>
      <c r="D6" s="30" t="s">
        <v>68</v>
      </c>
      <c r="E6" s="30" t="s">
        <v>104</v>
      </c>
      <c r="F6" s="30" t="s">
        <v>31</v>
      </c>
      <c r="G6" s="30" t="s">
        <v>105</v>
      </c>
      <c r="H6" s="30" t="s">
        <v>106</v>
      </c>
      <c r="I6" s="30" t="s">
        <v>37</v>
      </c>
      <c r="J6" s="1"/>
    </row>
    <row r="7" customFormat="false" ht="21.75" hidden="false" customHeight="true" outlineLevel="0" collapsed="false">
      <c r="A7" s="1"/>
      <c r="B7" s="38" t="n">
        <f aca="false">Settings!$C$9-1</f>
        <v>46310</v>
      </c>
      <c r="C7" s="31" t="s">
        <v>84</v>
      </c>
      <c r="D7" s="35" t="str">
        <f aca="false">IF(C7="","",IFERROR(INDEX(Products!$C$7:$C$104,MATCH(C7,Products!$B$7:$B$104,0)),"Unknown SKU"))</f>
        <v>Fig candle</v>
      </c>
      <c r="E7" s="31" t="n">
        <v>2</v>
      </c>
      <c r="F7" s="31" t="s">
        <v>46</v>
      </c>
      <c r="G7" s="32"/>
      <c r="H7" s="33" t="n">
        <f aca="false">IF(C7="","",IF(G7="",IFERROR(INDEX(Products!$G$7:$G$104,MATCH(C7,Products!$B$7:$B$104,0)),0),G7))</f>
        <v>38</v>
      </c>
      <c r="I7" s="33" t="n">
        <f aca="false">IF(C7="","",E7*H7)</f>
        <v>76</v>
      </c>
      <c r="J7" s="1"/>
    </row>
    <row r="8" customFormat="false" ht="21.75" hidden="false" customHeight="true" outlineLevel="0" collapsed="false">
      <c r="A8" s="1"/>
      <c r="B8" s="38" t="n">
        <f aca="false">Settings!$C$9-3</f>
        <v>46308</v>
      </c>
      <c r="C8" s="31" t="s">
        <v>97</v>
      </c>
      <c r="D8" s="35" t="str">
        <f aca="false">IF(C8="","",IFERROR(INDEX(Products!$C$7:$C$104,MATCH(C8,Products!$B$7:$B$104,0)),"Unknown SKU"))</f>
        <v>Art print A3</v>
      </c>
      <c r="E8" s="31" t="n">
        <v>3</v>
      </c>
      <c r="F8" s="31" t="s">
        <v>49</v>
      </c>
      <c r="G8" s="32"/>
      <c r="H8" s="33" t="n">
        <f aca="false">IF(C8="","",IF(G8="",IFERROR(INDEX(Products!$G$7:$G$104,MATCH(C8,Products!$B$7:$B$104,0)),0),G8))</f>
        <v>30</v>
      </c>
      <c r="I8" s="33" t="n">
        <f aca="false">IF(C8="","",E8*H8)</f>
        <v>90</v>
      </c>
      <c r="J8" s="1"/>
    </row>
    <row r="9" customFormat="false" ht="21.75" hidden="false" customHeight="true" outlineLevel="0" collapsed="false">
      <c r="A9" s="1"/>
      <c r="B9" s="38" t="n">
        <f aca="false">Settings!$C$9-4</f>
        <v>46307</v>
      </c>
      <c r="C9" s="31" t="s">
        <v>89</v>
      </c>
      <c r="D9" s="35" t="str">
        <f aca="false">IF(C9="","",IFERROR(INDEX(Products!$C$7:$C$104,MATCH(C9,Products!$B$7:$B$104,0)),"Unknown SKU"))</f>
        <v>Stoneware mug</v>
      </c>
      <c r="E9" s="31" t="n">
        <v>1</v>
      </c>
      <c r="F9" s="31" t="s">
        <v>55</v>
      </c>
      <c r="G9" s="32"/>
      <c r="H9" s="33" t="n">
        <f aca="false">IF(C9="","",IF(G9="",IFERROR(INDEX(Products!$G$7:$G$104,MATCH(C9,Products!$B$7:$B$104,0)),0),G9))</f>
        <v>55</v>
      </c>
      <c r="I9" s="33" t="n">
        <f aca="false">IF(C9="","",E9*H9)</f>
        <v>55</v>
      </c>
      <c r="J9" s="1"/>
    </row>
    <row r="10" customFormat="false" ht="21.75" hidden="false" customHeight="true" outlineLevel="0" collapsed="false">
      <c r="A10" s="1"/>
      <c r="B10" s="38" t="n">
        <f aca="false">Settings!$C$9-6</f>
        <v>46305</v>
      </c>
      <c r="C10" s="31" t="s">
        <v>87</v>
      </c>
      <c r="D10" s="35" t="str">
        <f aca="false">IF(C10="","",IFERROR(INDEX(Products!$C$7:$C$104,MATCH(C10,Products!$B$7:$B$104,0)),"Unknown SKU"))</f>
        <v>Cedar candle</v>
      </c>
      <c r="E10" s="31" t="n">
        <v>4</v>
      </c>
      <c r="F10" s="31" t="s">
        <v>61</v>
      </c>
      <c r="G10" s="32" t="n">
        <v>30</v>
      </c>
      <c r="H10" s="33" t="n">
        <f aca="false">IF(C10="","",IF(G10="",IFERROR(INDEX(Products!$G$7:$G$104,MATCH(C10,Products!$B$7:$B$104,0)),0),G10))</f>
        <v>30</v>
      </c>
      <c r="I10" s="33" t="n">
        <f aca="false">IF(C10="","",E10*H10)</f>
        <v>120</v>
      </c>
      <c r="J10" s="1"/>
    </row>
    <row r="11" customFormat="false" ht="21.75" hidden="false" customHeight="true" outlineLevel="0" collapsed="false">
      <c r="A11" s="1"/>
      <c r="B11" s="38" t="n">
        <f aca="false">Settings!$C$9-9</f>
        <v>46302</v>
      </c>
      <c r="C11" s="31" t="s">
        <v>94</v>
      </c>
      <c r="D11" s="35" t="str">
        <f aca="false">IF(C11="","",IFERROR(INDEX(Products!$C$7:$C$104,MATCH(C11,Products!$B$7:$B$104,0)),"Unknown SKU"))</f>
        <v>Linen tote</v>
      </c>
      <c r="E11" s="31" t="n">
        <v>2</v>
      </c>
      <c r="F11" s="31" t="s">
        <v>52</v>
      </c>
      <c r="G11" s="32"/>
      <c r="H11" s="33" t="n">
        <f aca="false">IF(C11="","",IF(G11="",IFERROR(INDEX(Products!$G$7:$G$104,MATCH(C11,Products!$B$7:$B$104,0)),0),G11))</f>
        <v>45</v>
      </c>
      <c r="I11" s="33" t="n">
        <f aca="false">IF(C11="","",E11*H11)</f>
        <v>90</v>
      </c>
      <c r="J11" s="1"/>
    </row>
    <row r="12" customFormat="false" ht="21.75" hidden="false" customHeight="true" outlineLevel="0" collapsed="false">
      <c r="A12" s="1"/>
      <c r="B12" s="38" t="n">
        <f aca="false">Settings!$C$9-11</f>
        <v>46300</v>
      </c>
      <c r="C12" s="31" t="s">
        <v>84</v>
      </c>
      <c r="D12" s="35" t="str">
        <f aca="false">IF(C12="","",IFERROR(INDEX(Products!$C$7:$C$104,MATCH(C12,Products!$B$7:$B$104,0)),"Unknown SKU"))</f>
        <v>Fig candle</v>
      </c>
      <c r="E12" s="31" t="n">
        <v>1</v>
      </c>
      <c r="F12" s="31" t="s">
        <v>58</v>
      </c>
      <c r="G12" s="32"/>
      <c r="H12" s="33" t="n">
        <f aca="false">IF(C12="","",IF(G12="",IFERROR(INDEX(Products!$G$7:$G$104,MATCH(C12,Products!$B$7:$B$104,0)),0),G12))</f>
        <v>38</v>
      </c>
      <c r="I12" s="33" t="n">
        <f aca="false">IF(C12="","",E12*H12)</f>
        <v>38</v>
      </c>
      <c r="J12" s="1"/>
    </row>
    <row r="13" customFormat="false" ht="21.75" hidden="false" customHeight="true" outlineLevel="0" collapsed="false">
      <c r="A13" s="1"/>
      <c r="B13" s="38" t="n">
        <f aca="false">Settings!$C$9-13</f>
        <v>46298</v>
      </c>
      <c r="C13" s="31" t="s">
        <v>92</v>
      </c>
      <c r="D13" s="35" t="str">
        <f aca="false">IF(C13="","",IFERROR(INDEX(Products!$C$7:$C$104,MATCH(C13,Products!$B$7:$B$104,0)),"Unknown SKU"))</f>
        <v>Serving bowl</v>
      </c>
      <c r="E13" s="31" t="n">
        <v>1</v>
      </c>
      <c r="F13" s="31" t="s">
        <v>46</v>
      </c>
      <c r="G13" s="32"/>
      <c r="H13" s="33" t="n">
        <f aca="false">IF(C13="","",IF(G13="",IFERROR(INDEX(Products!$G$7:$G$104,MATCH(C13,Products!$B$7:$B$104,0)),0),G13))</f>
        <v>95</v>
      </c>
      <c r="I13" s="33" t="n">
        <f aca="false">IF(C13="","",E13*H13)</f>
        <v>95</v>
      </c>
      <c r="J13" s="1"/>
    </row>
    <row r="14" customFormat="false" ht="21.75" hidden="false" customHeight="true" outlineLevel="0" collapsed="false">
      <c r="A14" s="1"/>
      <c r="B14" s="38" t="n">
        <f aca="false">Settings!$C$9-16</f>
        <v>46295</v>
      </c>
      <c r="C14" s="31" t="s">
        <v>97</v>
      </c>
      <c r="D14" s="35" t="str">
        <f aca="false">IF(C14="","",IFERROR(INDEX(Products!$C$7:$C$104,MATCH(C14,Products!$B$7:$B$104,0)),"Unknown SKU"))</f>
        <v>Art print A3</v>
      </c>
      <c r="E14" s="31" t="n">
        <v>2</v>
      </c>
      <c r="F14" s="31" t="s">
        <v>49</v>
      </c>
      <c r="G14" s="32"/>
      <c r="H14" s="33" t="n">
        <f aca="false">IF(C14="","",IF(G14="",IFERROR(INDEX(Products!$G$7:$G$104,MATCH(C14,Products!$B$7:$B$104,0)),0),G14))</f>
        <v>30</v>
      </c>
      <c r="I14" s="33" t="n">
        <f aca="false">IF(C14="","",E14*H14)</f>
        <v>60</v>
      </c>
      <c r="J14" s="1"/>
    </row>
    <row r="15" customFormat="false" ht="21.75" hidden="false" customHeight="true" outlineLevel="0" collapsed="false">
      <c r="A15" s="1"/>
      <c r="B15" s="38" t="n">
        <f aca="false">Settings!$C$9-19</f>
        <v>46292</v>
      </c>
      <c r="C15" s="31" t="s">
        <v>84</v>
      </c>
      <c r="D15" s="35" t="str">
        <f aca="false">IF(C15="","",IFERROR(INDEX(Products!$C$7:$C$104,MATCH(C15,Products!$B$7:$B$104,0)),"Unknown SKU"))</f>
        <v>Fig candle</v>
      </c>
      <c r="E15" s="31" t="n">
        <v>3</v>
      </c>
      <c r="F15" s="31" t="s">
        <v>55</v>
      </c>
      <c r="G15" s="32"/>
      <c r="H15" s="33" t="n">
        <f aca="false">IF(C15="","",IF(G15="",IFERROR(INDEX(Products!$G$7:$G$104,MATCH(C15,Products!$B$7:$B$104,0)),0),G15))</f>
        <v>38</v>
      </c>
      <c r="I15" s="33" t="n">
        <f aca="false">IF(C15="","",E15*H15)</f>
        <v>114</v>
      </c>
      <c r="J15" s="1"/>
    </row>
    <row r="16" customFormat="false" ht="21.75" hidden="false" customHeight="true" outlineLevel="0" collapsed="false">
      <c r="A16" s="1"/>
      <c r="B16" s="38" t="n">
        <f aca="false">Settings!$C$9-22</f>
        <v>46289</v>
      </c>
      <c r="C16" s="31" t="s">
        <v>94</v>
      </c>
      <c r="D16" s="35" t="str">
        <f aca="false">IF(C16="","",IFERROR(INDEX(Products!$C$7:$C$104,MATCH(C16,Products!$B$7:$B$104,0)),"Unknown SKU"))</f>
        <v>Linen tote</v>
      </c>
      <c r="E16" s="31" t="n">
        <v>1</v>
      </c>
      <c r="F16" s="31" t="s">
        <v>46</v>
      </c>
      <c r="G16" s="32"/>
      <c r="H16" s="33" t="n">
        <f aca="false">IF(C16="","",IF(G16="",IFERROR(INDEX(Products!$G$7:$G$104,MATCH(C16,Products!$B$7:$B$104,0)),0),G16))</f>
        <v>45</v>
      </c>
      <c r="I16" s="33" t="n">
        <f aca="false">IF(C16="","",E16*H16)</f>
        <v>45</v>
      </c>
      <c r="J16" s="1"/>
    </row>
    <row r="17" customFormat="false" ht="21.75" hidden="false" customHeight="true" outlineLevel="0" collapsed="false">
      <c r="A17" s="1"/>
      <c r="B17" s="38" t="n">
        <f aca="false">Settings!$C$9-25</f>
        <v>46286</v>
      </c>
      <c r="C17" s="31" t="s">
        <v>89</v>
      </c>
      <c r="D17" s="35" t="str">
        <f aca="false">IF(C17="","",IFERROR(INDEX(Products!$C$7:$C$104,MATCH(C17,Products!$B$7:$B$104,0)),"Unknown SKU"))</f>
        <v>Stoneware mug</v>
      </c>
      <c r="E17" s="31" t="n">
        <v>2</v>
      </c>
      <c r="F17" s="31" t="s">
        <v>49</v>
      </c>
      <c r="G17" s="32"/>
      <c r="H17" s="33" t="n">
        <f aca="false">IF(C17="","",IF(G17="",IFERROR(INDEX(Products!$G$7:$G$104,MATCH(C17,Products!$B$7:$B$104,0)),0),G17))</f>
        <v>55</v>
      </c>
      <c r="I17" s="33" t="n">
        <f aca="false">IF(C17="","",E17*H17)</f>
        <v>110</v>
      </c>
      <c r="J17" s="1"/>
    </row>
    <row r="18" customFormat="false" ht="21.75" hidden="false" customHeight="true" outlineLevel="0" collapsed="false">
      <c r="A18" s="1"/>
      <c r="B18" s="38" t="n">
        <f aca="false">Settings!$C$9-29</f>
        <v>46282</v>
      </c>
      <c r="C18" s="31" t="s">
        <v>87</v>
      </c>
      <c r="D18" s="35" t="str">
        <f aca="false">IF(C18="","",IFERROR(INDEX(Products!$C$7:$C$104,MATCH(C18,Products!$B$7:$B$104,0)),"Unknown SKU"))</f>
        <v>Cedar candle</v>
      </c>
      <c r="E18" s="31" t="n">
        <v>2</v>
      </c>
      <c r="F18" s="31" t="s">
        <v>46</v>
      </c>
      <c r="G18" s="32"/>
      <c r="H18" s="33" t="n">
        <f aca="false">IF(C18="","",IF(G18="",IFERROR(INDEX(Products!$G$7:$G$104,MATCH(C18,Products!$B$7:$B$104,0)),0),G18))</f>
        <v>38</v>
      </c>
      <c r="I18" s="33" t="n">
        <f aca="false">IF(C18="","",E18*H18)</f>
        <v>76</v>
      </c>
      <c r="J18" s="1"/>
    </row>
    <row r="19" customFormat="false" ht="21.75" hidden="false" customHeight="true" outlineLevel="0" collapsed="false">
      <c r="A19" s="1"/>
      <c r="B19" s="38" t="n">
        <f aca="false">Settings!$C$9-33</f>
        <v>46278</v>
      </c>
      <c r="C19" s="31" t="s">
        <v>97</v>
      </c>
      <c r="D19" s="35" t="str">
        <f aca="false">IF(C19="","",IFERROR(INDEX(Products!$C$7:$C$104,MATCH(C19,Products!$B$7:$B$104,0)),"Unknown SKU"))</f>
        <v>Art print A3</v>
      </c>
      <c r="E19" s="31" t="n">
        <v>4</v>
      </c>
      <c r="F19" s="31" t="s">
        <v>52</v>
      </c>
      <c r="G19" s="32"/>
      <c r="H19" s="33" t="n">
        <f aca="false">IF(C19="","",IF(G19="",IFERROR(INDEX(Products!$G$7:$G$104,MATCH(C19,Products!$B$7:$B$104,0)),0),G19))</f>
        <v>30</v>
      </c>
      <c r="I19" s="33" t="n">
        <f aca="false">IF(C19="","",E19*H19)</f>
        <v>120</v>
      </c>
      <c r="J19" s="1"/>
    </row>
    <row r="20" customFormat="false" ht="21.75" hidden="false" customHeight="true" outlineLevel="0" collapsed="false">
      <c r="A20" s="1"/>
      <c r="B20" s="38" t="n">
        <f aca="false">Settings!$C$9-37</f>
        <v>46274</v>
      </c>
      <c r="C20" s="31" t="s">
        <v>84</v>
      </c>
      <c r="D20" s="35" t="str">
        <f aca="false">IF(C20="","",IFERROR(INDEX(Products!$C$7:$C$104,MATCH(C20,Products!$B$7:$B$104,0)),"Unknown SKU"))</f>
        <v>Fig candle</v>
      </c>
      <c r="E20" s="31" t="n">
        <v>2</v>
      </c>
      <c r="F20" s="31" t="s">
        <v>49</v>
      </c>
      <c r="G20" s="32"/>
      <c r="H20" s="33" t="n">
        <f aca="false">IF(C20="","",IF(G20="",IFERROR(INDEX(Products!$G$7:$G$104,MATCH(C20,Products!$B$7:$B$104,0)),0),G20))</f>
        <v>38</v>
      </c>
      <c r="I20" s="33" t="n">
        <f aca="false">IF(C20="","",E20*H20)</f>
        <v>76</v>
      </c>
      <c r="J20" s="1"/>
    </row>
    <row r="21" customFormat="false" ht="21.75" hidden="false" customHeight="true" outlineLevel="0" collapsed="false">
      <c r="A21" s="1"/>
      <c r="B21" s="38" t="n">
        <f aca="false">Settings!$C$9-41</f>
        <v>46270</v>
      </c>
      <c r="C21" s="31" t="s">
        <v>94</v>
      </c>
      <c r="D21" s="35" t="str">
        <f aca="false">IF(C21="","",IFERROR(INDEX(Products!$C$7:$C$104,MATCH(C21,Products!$B$7:$B$104,0)),"Unknown SKU"))</f>
        <v>Linen tote</v>
      </c>
      <c r="E21" s="31" t="n">
        <v>3</v>
      </c>
      <c r="F21" s="31" t="s">
        <v>55</v>
      </c>
      <c r="G21" s="32"/>
      <c r="H21" s="33" t="n">
        <f aca="false">IF(C21="","",IF(G21="",IFERROR(INDEX(Products!$G$7:$G$104,MATCH(C21,Products!$B$7:$B$104,0)),0),G21))</f>
        <v>45</v>
      </c>
      <c r="I21" s="33" t="n">
        <f aca="false">IF(C21="","",E21*H21)</f>
        <v>135</v>
      </c>
      <c r="J21" s="1"/>
    </row>
    <row r="22" customFormat="false" ht="21.75" hidden="false" customHeight="true" outlineLevel="0" collapsed="false">
      <c r="A22" s="1"/>
      <c r="B22" s="38" t="n">
        <f aca="false">Settings!$C$9-44</f>
        <v>46267</v>
      </c>
      <c r="C22" s="31" t="s">
        <v>89</v>
      </c>
      <c r="D22" s="35" t="str">
        <f aca="false">IF(C22="","",IFERROR(INDEX(Products!$C$7:$C$104,MATCH(C22,Products!$B$7:$B$104,0)),"Unknown SKU"))</f>
        <v>Stoneware mug</v>
      </c>
      <c r="E22" s="31" t="n">
        <v>1</v>
      </c>
      <c r="F22" s="31" t="s">
        <v>46</v>
      </c>
      <c r="G22" s="32"/>
      <c r="H22" s="33" t="n">
        <f aca="false">IF(C22="","",IF(G22="",IFERROR(INDEX(Products!$G$7:$G$104,MATCH(C22,Products!$B$7:$B$104,0)),0),G22))</f>
        <v>55</v>
      </c>
      <c r="I22" s="33" t="n">
        <f aca="false">IF(C22="","",E22*H22)</f>
        <v>55</v>
      </c>
      <c r="J22" s="1"/>
    </row>
    <row r="23" customFormat="false" ht="21.75" hidden="false" customHeight="true" outlineLevel="0" collapsed="false">
      <c r="A23" s="1"/>
      <c r="B23" s="38" t="n">
        <f aca="false">Settings!$C$9-48</f>
        <v>46263</v>
      </c>
      <c r="C23" s="31" t="s">
        <v>87</v>
      </c>
      <c r="D23" s="35" t="str">
        <f aca="false">IF(C23="","",IFERROR(INDEX(Products!$C$7:$C$104,MATCH(C23,Products!$B$7:$B$104,0)),"Unknown SKU"))</f>
        <v>Cedar candle</v>
      </c>
      <c r="E23" s="31" t="n">
        <v>3</v>
      </c>
      <c r="F23" s="31" t="s">
        <v>61</v>
      </c>
      <c r="G23" s="32" t="n">
        <v>30</v>
      </c>
      <c r="H23" s="33" t="n">
        <f aca="false">IF(C23="","",IF(G23="",IFERROR(INDEX(Products!$G$7:$G$104,MATCH(C23,Products!$B$7:$B$104,0)),0),G23))</f>
        <v>30</v>
      </c>
      <c r="I23" s="33" t="n">
        <f aca="false">IF(C23="","",E23*H23)</f>
        <v>90</v>
      </c>
      <c r="J23" s="1"/>
    </row>
    <row r="24" customFormat="false" ht="21.75" hidden="false" customHeight="true" outlineLevel="0" collapsed="false">
      <c r="A24" s="1"/>
      <c r="B24" s="38" t="n">
        <f aca="false">Settings!$C$9-52</f>
        <v>46259</v>
      </c>
      <c r="C24" s="31" t="s">
        <v>97</v>
      </c>
      <c r="D24" s="35" t="str">
        <f aca="false">IF(C24="","",IFERROR(INDEX(Products!$C$7:$C$104,MATCH(C24,Products!$B$7:$B$104,0)),"Unknown SKU"))</f>
        <v>Art print A3</v>
      </c>
      <c r="E24" s="31" t="n">
        <v>2</v>
      </c>
      <c r="F24" s="31" t="s">
        <v>49</v>
      </c>
      <c r="G24" s="32"/>
      <c r="H24" s="33" t="n">
        <f aca="false">IF(C24="","",IF(G24="",IFERROR(INDEX(Products!$G$7:$G$104,MATCH(C24,Products!$B$7:$B$104,0)),0),G24))</f>
        <v>30</v>
      </c>
      <c r="I24" s="33" t="n">
        <f aca="false">IF(C24="","",E24*H24)</f>
        <v>60</v>
      </c>
      <c r="J24" s="1"/>
    </row>
    <row r="25" customFormat="false" ht="21.75" hidden="false" customHeight="true" outlineLevel="0" collapsed="false">
      <c r="A25" s="1"/>
      <c r="B25" s="38" t="n">
        <f aca="false">Settings!$C$9-55</f>
        <v>46256</v>
      </c>
      <c r="C25" s="31" t="s">
        <v>84</v>
      </c>
      <c r="D25" s="35" t="str">
        <f aca="false">IF(C25="","",IFERROR(INDEX(Products!$C$7:$C$104,MATCH(C25,Products!$B$7:$B$104,0)),"Unknown SKU"))</f>
        <v>Fig candle</v>
      </c>
      <c r="E25" s="31" t="n">
        <v>1</v>
      </c>
      <c r="F25" s="31" t="s">
        <v>58</v>
      </c>
      <c r="G25" s="32"/>
      <c r="H25" s="33" t="n">
        <f aca="false">IF(C25="","",IF(G25="",IFERROR(INDEX(Products!$G$7:$G$104,MATCH(C25,Products!$B$7:$B$104,0)),0),G25))</f>
        <v>38</v>
      </c>
      <c r="I25" s="33" t="n">
        <f aca="false">IF(C25="","",E25*H25)</f>
        <v>38</v>
      </c>
      <c r="J25" s="1"/>
    </row>
    <row r="26" customFormat="false" ht="21.75" hidden="false" customHeight="true" outlineLevel="0" collapsed="false">
      <c r="A26" s="1"/>
      <c r="B26" s="38"/>
      <c r="C26" s="31"/>
      <c r="D26" s="35" t="str">
        <f aca="false">IF(C26="","",IFERROR(INDEX(Products!$C$7:$C$104,MATCH(C26,Products!$B$7:$B$104,0)),"Unknown SKU"))</f>
        <v/>
      </c>
      <c r="E26" s="31"/>
      <c r="F26" s="31"/>
      <c r="G26" s="32"/>
      <c r="H26" s="33" t="str">
        <f aca="false">IF(C26="","",IF(G26="",IFERROR(INDEX(Products!$G$7:$G$104,MATCH(C26,Products!$B$7:$B$104,0)),0),G26))</f>
        <v/>
      </c>
      <c r="I26" s="33" t="str">
        <f aca="false">IF(C26="","",E26*H26)</f>
        <v/>
      </c>
      <c r="J26" s="1"/>
    </row>
    <row r="27" customFormat="false" ht="21.75" hidden="false" customHeight="true" outlineLevel="0" collapsed="false">
      <c r="A27" s="1"/>
      <c r="B27" s="38"/>
      <c r="C27" s="31"/>
      <c r="D27" s="35" t="str">
        <f aca="false">IF(C27="","",IFERROR(INDEX(Products!$C$7:$C$104,MATCH(C27,Products!$B$7:$B$104,0)),"Unknown SKU"))</f>
        <v/>
      </c>
      <c r="E27" s="31"/>
      <c r="F27" s="31"/>
      <c r="G27" s="32"/>
      <c r="H27" s="33" t="str">
        <f aca="false">IF(C27="","",IF(G27="",IFERROR(INDEX(Products!$G$7:$G$104,MATCH(C27,Products!$B$7:$B$104,0)),0),G27))</f>
        <v/>
      </c>
      <c r="I27" s="33" t="str">
        <f aca="false">IF(C27="","",E27*H27)</f>
        <v/>
      </c>
      <c r="J27" s="1"/>
    </row>
    <row r="28" customFormat="false" ht="21.75" hidden="false" customHeight="true" outlineLevel="0" collapsed="false">
      <c r="A28" s="1"/>
      <c r="B28" s="38"/>
      <c r="C28" s="31"/>
      <c r="D28" s="35" t="str">
        <f aca="false">IF(C28="","",IFERROR(INDEX(Products!$C$7:$C$104,MATCH(C28,Products!$B$7:$B$104,0)),"Unknown SKU"))</f>
        <v/>
      </c>
      <c r="E28" s="31"/>
      <c r="F28" s="31"/>
      <c r="G28" s="32"/>
      <c r="H28" s="33" t="str">
        <f aca="false">IF(C28="","",IF(G28="",IFERROR(INDEX(Products!$G$7:$G$104,MATCH(C28,Products!$B$7:$B$104,0)),0),G28))</f>
        <v/>
      </c>
      <c r="I28" s="33" t="str">
        <f aca="false">IF(C28="","",E28*H28)</f>
        <v/>
      </c>
      <c r="J28" s="1"/>
    </row>
    <row r="29" customFormat="false" ht="21.75" hidden="false" customHeight="true" outlineLevel="0" collapsed="false">
      <c r="A29" s="1"/>
      <c r="B29" s="38"/>
      <c r="C29" s="31"/>
      <c r="D29" s="35" t="str">
        <f aca="false">IF(C29="","",IFERROR(INDEX(Products!$C$7:$C$104,MATCH(C29,Products!$B$7:$B$104,0)),"Unknown SKU"))</f>
        <v/>
      </c>
      <c r="E29" s="31"/>
      <c r="F29" s="31"/>
      <c r="G29" s="32"/>
      <c r="H29" s="33" t="str">
        <f aca="false">IF(C29="","",IF(G29="",IFERROR(INDEX(Products!$G$7:$G$104,MATCH(C29,Products!$B$7:$B$104,0)),0),G29))</f>
        <v/>
      </c>
      <c r="I29" s="33" t="str">
        <f aca="false">IF(C29="","",E29*H29)</f>
        <v/>
      </c>
      <c r="J29" s="1"/>
    </row>
    <row r="30" customFormat="false" ht="21.75" hidden="false" customHeight="true" outlineLevel="0" collapsed="false">
      <c r="A30" s="1"/>
      <c r="B30" s="38"/>
      <c r="C30" s="31"/>
      <c r="D30" s="35" t="str">
        <f aca="false">IF(C30="","",IFERROR(INDEX(Products!$C$7:$C$104,MATCH(C30,Products!$B$7:$B$104,0)),"Unknown SKU"))</f>
        <v/>
      </c>
      <c r="E30" s="31"/>
      <c r="F30" s="31"/>
      <c r="G30" s="32"/>
      <c r="H30" s="33" t="str">
        <f aca="false">IF(C30="","",IF(G30="",IFERROR(INDEX(Products!$G$7:$G$104,MATCH(C30,Products!$B$7:$B$104,0)),0),G30))</f>
        <v/>
      </c>
      <c r="I30" s="33" t="str">
        <f aca="false">IF(C30="","",E30*H30)</f>
        <v/>
      </c>
      <c r="J30" s="1"/>
    </row>
    <row r="31" customFormat="false" ht="21.75" hidden="false" customHeight="true" outlineLevel="0" collapsed="false">
      <c r="A31" s="1"/>
      <c r="B31" s="38"/>
      <c r="C31" s="31"/>
      <c r="D31" s="35" t="str">
        <f aca="false">IF(C31="","",IFERROR(INDEX(Products!$C$7:$C$104,MATCH(C31,Products!$B$7:$B$104,0)),"Unknown SKU"))</f>
        <v/>
      </c>
      <c r="E31" s="31"/>
      <c r="F31" s="31"/>
      <c r="G31" s="32"/>
      <c r="H31" s="33" t="str">
        <f aca="false">IF(C31="","",IF(G31="",IFERROR(INDEX(Products!$G$7:$G$104,MATCH(C31,Products!$B$7:$B$104,0)),0),G31))</f>
        <v/>
      </c>
      <c r="I31" s="33" t="str">
        <f aca="false">IF(C31="","",E31*H31)</f>
        <v/>
      </c>
      <c r="J31" s="1"/>
    </row>
    <row r="32" customFormat="false" ht="21.75" hidden="false" customHeight="true" outlineLevel="0" collapsed="false">
      <c r="A32" s="1"/>
      <c r="B32" s="38"/>
      <c r="C32" s="31"/>
      <c r="D32" s="35" t="str">
        <f aca="false">IF(C32="","",IFERROR(INDEX(Products!$C$7:$C$104,MATCH(C32,Products!$B$7:$B$104,0)),"Unknown SKU"))</f>
        <v/>
      </c>
      <c r="E32" s="31"/>
      <c r="F32" s="31"/>
      <c r="G32" s="32"/>
      <c r="H32" s="33" t="str">
        <f aca="false">IF(C32="","",IF(G32="",IFERROR(INDEX(Products!$G$7:$G$104,MATCH(C32,Products!$B$7:$B$104,0)),0),G32))</f>
        <v/>
      </c>
      <c r="I32" s="33" t="str">
        <f aca="false">IF(C32="","",E32*H32)</f>
        <v/>
      </c>
      <c r="J32" s="1"/>
    </row>
    <row r="33" customFormat="false" ht="21.75" hidden="false" customHeight="true" outlineLevel="0" collapsed="false">
      <c r="A33" s="1"/>
      <c r="B33" s="38"/>
      <c r="C33" s="31"/>
      <c r="D33" s="35" t="str">
        <f aca="false">IF(C33="","",IFERROR(INDEX(Products!$C$7:$C$104,MATCH(C33,Products!$B$7:$B$104,0)),"Unknown SKU"))</f>
        <v/>
      </c>
      <c r="E33" s="31"/>
      <c r="F33" s="31"/>
      <c r="G33" s="32"/>
      <c r="H33" s="33" t="str">
        <f aca="false">IF(C33="","",IF(G33="",IFERROR(INDEX(Products!$G$7:$G$104,MATCH(C33,Products!$B$7:$B$104,0)),0),G33))</f>
        <v/>
      </c>
      <c r="I33" s="33" t="str">
        <f aca="false">IF(C33="","",E33*H33)</f>
        <v/>
      </c>
      <c r="J33" s="1"/>
    </row>
    <row r="34" customFormat="false" ht="21.75" hidden="false" customHeight="true" outlineLevel="0" collapsed="false">
      <c r="A34" s="1"/>
      <c r="B34" s="38"/>
      <c r="C34" s="31"/>
      <c r="D34" s="35" t="str">
        <f aca="false">IF(C34="","",IFERROR(INDEX(Products!$C$7:$C$104,MATCH(C34,Products!$B$7:$B$104,0)),"Unknown SKU"))</f>
        <v/>
      </c>
      <c r="E34" s="31"/>
      <c r="F34" s="31"/>
      <c r="G34" s="32"/>
      <c r="H34" s="33" t="str">
        <f aca="false">IF(C34="","",IF(G34="",IFERROR(INDEX(Products!$G$7:$G$104,MATCH(C34,Products!$B$7:$B$104,0)),0),G34))</f>
        <v/>
      </c>
      <c r="I34" s="33" t="str">
        <f aca="false">IF(C34="","",E34*H34)</f>
        <v/>
      </c>
      <c r="J34" s="1"/>
    </row>
    <row r="35" customFormat="false" ht="21.75" hidden="false" customHeight="true" outlineLevel="0" collapsed="false">
      <c r="A35" s="1"/>
      <c r="B35" s="38"/>
      <c r="C35" s="31"/>
      <c r="D35" s="35" t="str">
        <f aca="false">IF(C35="","",IFERROR(INDEX(Products!$C$7:$C$104,MATCH(C35,Products!$B$7:$B$104,0)),"Unknown SKU"))</f>
        <v/>
      </c>
      <c r="E35" s="31"/>
      <c r="F35" s="31"/>
      <c r="G35" s="32"/>
      <c r="H35" s="33" t="str">
        <f aca="false">IF(C35="","",IF(G35="",IFERROR(INDEX(Products!$G$7:$G$104,MATCH(C35,Products!$B$7:$B$104,0)),0),G35))</f>
        <v/>
      </c>
      <c r="I35" s="33" t="str">
        <f aca="false">IF(C35="","",E35*H35)</f>
        <v/>
      </c>
      <c r="J35" s="1"/>
    </row>
    <row r="36" customFormat="false" ht="21.75" hidden="false" customHeight="true" outlineLevel="0" collapsed="false">
      <c r="A36" s="1"/>
      <c r="B36" s="38"/>
      <c r="C36" s="31"/>
      <c r="D36" s="35" t="str">
        <f aca="false">IF(C36="","",IFERROR(INDEX(Products!$C$7:$C$104,MATCH(C36,Products!$B$7:$B$104,0)),"Unknown SKU"))</f>
        <v/>
      </c>
      <c r="E36" s="31"/>
      <c r="F36" s="31"/>
      <c r="G36" s="32"/>
      <c r="H36" s="33" t="str">
        <f aca="false">IF(C36="","",IF(G36="",IFERROR(INDEX(Products!$G$7:$G$104,MATCH(C36,Products!$B$7:$B$104,0)),0),G36))</f>
        <v/>
      </c>
      <c r="I36" s="33" t="str">
        <f aca="false">IF(C36="","",E36*H36)</f>
        <v/>
      </c>
      <c r="J36" s="1"/>
    </row>
    <row r="37" customFormat="false" ht="21.75" hidden="false" customHeight="true" outlineLevel="0" collapsed="false">
      <c r="A37" s="1"/>
      <c r="B37" s="38"/>
      <c r="C37" s="31"/>
      <c r="D37" s="35" t="str">
        <f aca="false">IF(C37="","",IFERROR(INDEX(Products!$C$7:$C$104,MATCH(C37,Products!$B$7:$B$104,0)),"Unknown SKU"))</f>
        <v/>
      </c>
      <c r="E37" s="31"/>
      <c r="F37" s="31"/>
      <c r="G37" s="32"/>
      <c r="H37" s="33" t="str">
        <f aca="false">IF(C37="","",IF(G37="",IFERROR(INDEX(Products!$G$7:$G$104,MATCH(C37,Products!$B$7:$B$104,0)),0),G37))</f>
        <v/>
      </c>
      <c r="I37" s="33" t="str">
        <f aca="false">IF(C37="","",E37*H37)</f>
        <v/>
      </c>
      <c r="J37" s="1"/>
    </row>
    <row r="38" customFormat="false" ht="21.75" hidden="false" customHeight="true" outlineLevel="0" collapsed="false">
      <c r="A38" s="1"/>
      <c r="B38" s="38"/>
      <c r="C38" s="31"/>
      <c r="D38" s="35" t="str">
        <f aca="false">IF(C38="","",IFERROR(INDEX(Products!$C$7:$C$104,MATCH(C38,Products!$B$7:$B$104,0)),"Unknown SKU"))</f>
        <v/>
      </c>
      <c r="E38" s="31"/>
      <c r="F38" s="31"/>
      <c r="G38" s="32"/>
      <c r="H38" s="33" t="str">
        <f aca="false">IF(C38="","",IF(G38="",IFERROR(INDEX(Products!$G$7:$G$104,MATCH(C38,Products!$B$7:$B$104,0)),0),G38))</f>
        <v/>
      </c>
      <c r="I38" s="33" t="str">
        <f aca="false">IF(C38="","",E38*H38)</f>
        <v/>
      </c>
      <c r="J38" s="1"/>
    </row>
    <row r="39" customFormat="false" ht="21.75" hidden="false" customHeight="true" outlineLevel="0" collapsed="false">
      <c r="A39" s="1"/>
      <c r="B39" s="38"/>
      <c r="C39" s="31"/>
      <c r="D39" s="35" t="str">
        <f aca="false">IF(C39="","",IFERROR(INDEX(Products!$C$7:$C$104,MATCH(C39,Products!$B$7:$B$104,0)),"Unknown SKU"))</f>
        <v/>
      </c>
      <c r="E39" s="31"/>
      <c r="F39" s="31"/>
      <c r="G39" s="32"/>
      <c r="H39" s="33" t="str">
        <f aca="false">IF(C39="","",IF(G39="",IFERROR(INDEX(Products!$G$7:$G$104,MATCH(C39,Products!$B$7:$B$104,0)),0),G39))</f>
        <v/>
      </c>
      <c r="I39" s="33" t="str">
        <f aca="false">IF(C39="","",E39*H39)</f>
        <v/>
      </c>
      <c r="J39" s="1"/>
    </row>
    <row r="40" customFormat="false" ht="21.75" hidden="false" customHeight="true" outlineLevel="0" collapsed="false">
      <c r="A40" s="1"/>
      <c r="B40" s="38"/>
      <c r="C40" s="31"/>
      <c r="D40" s="35" t="str">
        <f aca="false">IF(C40="","",IFERROR(INDEX(Products!$C$7:$C$104,MATCH(C40,Products!$B$7:$B$104,0)),"Unknown SKU"))</f>
        <v/>
      </c>
      <c r="E40" s="31"/>
      <c r="F40" s="31"/>
      <c r="G40" s="32"/>
      <c r="H40" s="33" t="str">
        <f aca="false">IF(C40="","",IF(G40="",IFERROR(INDEX(Products!$G$7:$G$104,MATCH(C40,Products!$B$7:$B$104,0)),0),G40))</f>
        <v/>
      </c>
      <c r="I40" s="33" t="str">
        <f aca="false">IF(C40="","",E40*H40)</f>
        <v/>
      </c>
      <c r="J40" s="1"/>
    </row>
    <row r="41" customFormat="false" ht="21.75" hidden="false" customHeight="true" outlineLevel="0" collapsed="false">
      <c r="A41" s="1"/>
      <c r="B41" s="38"/>
      <c r="C41" s="31"/>
      <c r="D41" s="35" t="str">
        <f aca="false">IF(C41="","",IFERROR(INDEX(Products!$C$7:$C$104,MATCH(C41,Products!$B$7:$B$104,0)),"Unknown SKU"))</f>
        <v/>
      </c>
      <c r="E41" s="31"/>
      <c r="F41" s="31"/>
      <c r="G41" s="32"/>
      <c r="H41" s="33" t="str">
        <f aca="false">IF(C41="","",IF(G41="",IFERROR(INDEX(Products!$G$7:$G$104,MATCH(C41,Products!$B$7:$B$104,0)),0),G41))</f>
        <v/>
      </c>
      <c r="I41" s="33" t="str">
        <f aca="false">IF(C41="","",E41*H41)</f>
        <v/>
      </c>
      <c r="J41" s="1"/>
    </row>
    <row r="42" customFormat="false" ht="21.75" hidden="false" customHeight="true" outlineLevel="0" collapsed="false">
      <c r="A42" s="1"/>
      <c r="B42" s="38"/>
      <c r="C42" s="31"/>
      <c r="D42" s="35" t="str">
        <f aca="false">IF(C42="","",IFERROR(INDEX(Products!$C$7:$C$104,MATCH(C42,Products!$B$7:$B$104,0)),"Unknown SKU"))</f>
        <v/>
      </c>
      <c r="E42" s="31"/>
      <c r="F42" s="31"/>
      <c r="G42" s="32"/>
      <c r="H42" s="33" t="str">
        <f aca="false">IF(C42="","",IF(G42="",IFERROR(INDEX(Products!$G$7:$G$104,MATCH(C42,Products!$B$7:$B$104,0)),0),G42))</f>
        <v/>
      </c>
      <c r="I42" s="33" t="str">
        <f aca="false">IF(C42="","",E42*H42)</f>
        <v/>
      </c>
      <c r="J42" s="1"/>
    </row>
    <row r="43" customFormat="false" ht="21.75" hidden="false" customHeight="true" outlineLevel="0" collapsed="false">
      <c r="A43" s="1"/>
      <c r="B43" s="38"/>
      <c r="C43" s="31"/>
      <c r="D43" s="35" t="str">
        <f aca="false">IF(C43="","",IFERROR(INDEX(Products!$C$7:$C$104,MATCH(C43,Products!$B$7:$B$104,0)),"Unknown SKU"))</f>
        <v/>
      </c>
      <c r="E43" s="31"/>
      <c r="F43" s="31"/>
      <c r="G43" s="32"/>
      <c r="H43" s="33" t="str">
        <f aca="false">IF(C43="","",IF(G43="",IFERROR(INDEX(Products!$G$7:$G$104,MATCH(C43,Products!$B$7:$B$104,0)),0),G43))</f>
        <v/>
      </c>
      <c r="I43" s="33" t="str">
        <f aca="false">IF(C43="","",E43*H43)</f>
        <v/>
      </c>
      <c r="J43" s="1"/>
    </row>
    <row r="44" customFormat="false" ht="21.75" hidden="false" customHeight="true" outlineLevel="0" collapsed="false">
      <c r="A44" s="1"/>
      <c r="B44" s="38"/>
      <c r="C44" s="31"/>
      <c r="D44" s="35" t="str">
        <f aca="false">IF(C44="","",IFERROR(INDEX(Products!$C$7:$C$104,MATCH(C44,Products!$B$7:$B$104,0)),"Unknown SKU"))</f>
        <v/>
      </c>
      <c r="E44" s="31"/>
      <c r="F44" s="31"/>
      <c r="G44" s="32"/>
      <c r="H44" s="33" t="str">
        <f aca="false">IF(C44="","",IF(G44="",IFERROR(INDEX(Products!$G$7:$G$104,MATCH(C44,Products!$B$7:$B$104,0)),0),G44))</f>
        <v/>
      </c>
      <c r="I44" s="33" t="str">
        <f aca="false">IF(C44="","",E44*H44)</f>
        <v/>
      </c>
      <c r="J44" s="1"/>
    </row>
    <row r="45" customFormat="false" ht="21.75" hidden="false" customHeight="true" outlineLevel="0" collapsed="false">
      <c r="A45" s="1"/>
      <c r="B45" s="38"/>
      <c r="C45" s="31"/>
      <c r="D45" s="35" t="str">
        <f aca="false">IF(C45="","",IFERROR(INDEX(Products!$C$7:$C$104,MATCH(C45,Products!$B$7:$B$104,0)),"Unknown SKU"))</f>
        <v/>
      </c>
      <c r="E45" s="31"/>
      <c r="F45" s="31"/>
      <c r="G45" s="32"/>
      <c r="H45" s="33" t="str">
        <f aca="false">IF(C45="","",IF(G45="",IFERROR(INDEX(Products!$G$7:$G$104,MATCH(C45,Products!$B$7:$B$104,0)),0),G45))</f>
        <v/>
      </c>
      <c r="I45" s="33" t="str">
        <f aca="false">IF(C45="","",E45*H45)</f>
        <v/>
      </c>
      <c r="J45" s="1"/>
    </row>
    <row r="46" customFormat="false" ht="21.75" hidden="false" customHeight="true" outlineLevel="0" collapsed="false">
      <c r="A46" s="1"/>
      <c r="B46" s="38"/>
      <c r="C46" s="31"/>
      <c r="D46" s="35" t="str">
        <f aca="false">IF(C46="","",IFERROR(INDEX(Products!$C$7:$C$104,MATCH(C46,Products!$B$7:$B$104,0)),"Unknown SKU"))</f>
        <v/>
      </c>
      <c r="E46" s="31"/>
      <c r="F46" s="31"/>
      <c r="G46" s="32"/>
      <c r="H46" s="33" t="str">
        <f aca="false">IF(C46="","",IF(G46="",IFERROR(INDEX(Products!$G$7:$G$104,MATCH(C46,Products!$B$7:$B$104,0)),0),G46))</f>
        <v/>
      </c>
      <c r="I46" s="33" t="str">
        <f aca="false">IF(C46="","",E46*H46)</f>
        <v/>
      </c>
      <c r="J46" s="1"/>
    </row>
    <row r="47" customFormat="false" ht="21.75" hidden="false" customHeight="true" outlineLevel="0" collapsed="false">
      <c r="A47" s="1"/>
      <c r="B47" s="38"/>
      <c r="C47" s="31"/>
      <c r="D47" s="35" t="str">
        <f aca="false">IF(C47="","",IFERROR(INDEX(Products!$C$7:$C$104,MATCH(C47,Products!$B$7:$B$104,0)),"Unknown SKU"))</f>
        <v/>
      </c>
      <c r="E47" s="31"/>
      <c r="F47" s="31"/>
      <c r="G47" s="32"/>
      <c r="H47" s="33" t="str">
        <f aca="false">IF(C47="","",IF(G47="",IFERROR(INDEX(Products!$G$7:$G$104,MATCH(C47,Products!$B$7:$B$104,0)),0),G47))</f>
        <v/>
      </c>
      <c r="I47" s="33" t="str">
        <f aca="false">IF(C47="","",E47*H47)</f>
        <v/>
      </c>
      <c r="J47" s="1"/>
    </row>
    <row r="48" customFormat="false" ht="21.75" hidden="false" customHeight="true" outlineLevel="0" collapsed="false">
      <c r="A48" s="1"/>
      <c r="B48" s="38"/>
      <c r="C48" s="31"/>
      <c r="D48" s="35" t="str">
        <f aca="false">IF(C48="","",IFERROR(INDEX(Products!$C$7:$C$104,MATCH(C48,Products!$B$7:$B$104,0)),"Unknown SKU"))</f>
        <v/>
      </c>
      <c r="E48" s="31"/>
      <c r="F48" s="31"/>
      <c r="G48" s="32"/>
      <c r="H48" s="33" t="str">
        <f aca="false">IF(C48="","",IF(G48="",IFERROR(INDEX(Products!$G$7:$G$104,MATCH(C48,Products!$B$7:$B$104,0)),0),G48))</f>
        <v/>
      </c>
      <c r="I48" s="33" t="str">
        <f aca="false">IF(C48="","",E48*H48)</f>
        <v/>
      </c>
      <c r="J48" s="1"/>
    </row>
    <row r="49" customFormat="false" ht="21.75" hidden="false" customHeight="true" outlineLevel="0" collapsed="false">
      <c r="A49" s="1"/>
      <c r="B49" s="38"/>
      <c r="C49" s="31"/>
      <c r="D49" s="35" t="str">
        <f aca="false">IF(C49="","",IFERROR(INDEX(Products!$C$7:$C$104,MATCH(C49,Products!$B$7:$B$104,0)),"Unknown SKU"))</f>
        <v/>
      </c>
      <c r="E49" s="31"/>
      <c r="F49" s="31"/>
      <c r="G49" s="32"/>
      <c r="H49" s="33" t="str">
        <f aca="false">IF(C49="","",IF(G49="",IFERROR(INDEX(Products!$G$7:$G$104,MATCH(C49,Products!$B$7:$B$104,0)),0),G49))</f>
        <v/>
      </c>
      <c r="I49" s="33" t="str">
        <f aca="false">IF(C49="","",E49*H49)</f>
        <v/>
      </c>
      <c r="J49" s="1"/>
    </row>
    <row r="50" customFormat="false" ht="21.75" hidden="false" customHeight="true" outlineLevel="0" collapsed="false">
      <c r="A50" s="1"/>
      <c r="B50" s="38"/>
      <c r="C50" s="31"/>
      <c r="D50" s="35" t="str">
        <f aca="false">IF(C50="","",IFERROR(INDEX(Products!$C$7:$C$104,MATCH(C50,Products!$B$7:$B$104,0)),"Unknown SKU"))</f>
        <v/>
      </c>
      <c r="E50" s="31"/>
      <c r="F50" s="31"/>
      <c r="G50" s="32"/>
      <c r="H50" s="33" t="str">
        <f aca="false">IF(C50="","",IF(G50="",IFERROR(INDEX(Products!$G$7:$G$104,MATCH(C50,Products!$B$7:$B$104,0)),0),G50))</f>
        <v/>
      </c>
      <c r="I50" s="33" t="str">
        <f aca="false">IF(C50="","",E50*H50)</f>
        <v/>
      </c>
      <c r="J50" s="1"/>
    </row>
    <row r="51" customFormat="false" ht="21.75" hidden="false" customHeight="true" outlineLevel="0" collapsed="false">
      <c r="A51" s="1"/>
      <c r="B51" s="38"/>
      <c r="C51" s="31"/>
      <c r="D51" s="35" t="str">
        <f aca="false">IF(C51="","",IFERROR(INDEX(Products!$C$7:$C$104,MATCH(C51,Products!$B$7:$B$104,0)),"Unknown SKU"))</f>
        <v/>
      </c>
      <c r="E51" s="31"/>
      <c r="F51" s="31"/>
      <c r="G51" s="32"/>
      <c r="H51" s="33" t="str">
        <f aca="false">IF(C51="","",IF(G51="",IFERROR(INDEX(Products!$G$7:$G$104,MATCH(C51,Products!$B$7:$B$104,0)),0),G51))</f>
        <v/>
      </c>
      <c r="I51" s="33" t="str">
        <f aca="false">IF(C51="","",E51*H51)</f>
        <v/>
      </c>
      <c r="J51" s="1"/>
    </row>
    <row r="52" customFormat="false" ht="21.75" hidden="false" customHeight="true" outlineLevel="0" collapsed="false">
      <c r="A52" s="1"/>
      <c r="B52" s="38"/>
      <c r="C52" s="31"/>
      <c r="D52" s="35" t="str">
        <f aca="false">IF(C52="","",IFERROR(INDEX(Products!$C$7:$C$104,MATCH(C52,Products!$B$7:$B$104,0)),"Unknown SKU"))</f>
        <v/>
      </c>
      <c r="E52" s="31"/>
      <c r="F52" s="31"/>
      <c r="G52" s="32"/>
      <c r="H52" s="33" t="str">
        <f aca="false">IF(C52="","",IF(G52="",IFERROR(INDEX(Products!$G$7:$G$104,MATCH(C52,Products!$B$7:$B$104,0)),0),G52))</f>
        <v/>
      </c>
      <c r="I52" s="33" t="str">
        <f aca="false">IF(C52="","",E52*H52)</f>
        <v/>
      </c>
      <c r="J52" s="1"/>
    </row>
    <row r="53" customFormat="false" ht="21.75" hidden="false" customHeight="true" outlineLevel="0" collapsed="false">
      <c r="A53" s="1"/>
      <c r="B53" s="38"/>
      <c r="C53" s="31"/>
      <c r="D53" s="35" t="str">
        <f aca="false">IF(C53="","",IFERROR(INDEX(Products!$C$7:$C$104,MATCH(C53,Products!$B$7:$B$104,0)),"Unknown SKU"))</f>
        <v/>
      </c>
      <c r="E53" s="31"/>
      <c r="F53" s="31"/>
      <c r="G53" s="32"/>
      <c r="H53" s="33" t="str">
        <f aca="false">IF(C53="","",IF(G53="",IFERROR(INDEX(Products!$G$7:$G$104,MATCH(C53,Products!$B$7:$B$104,0)),0),G53))</f>
        <v/>
      </c>
      <c r="I53" s="33" t="str">
        <f aca="false">IF(C53="","",E53*H53)</f>
        <v/>
      </c>
      <c r="J53" s="1"/>
    </row>
    <row r="54" customFormat="false" ht="21.75" hidden="false" customHeight="true" outlineLevel="0" collapsed="false">
      <c r="A54" s="1"/>
      <c r="B54" s="38"/>
      <c r="C54" s="31"/>
      <c r="D54" s="35" t="str">
        <f aca="false">IF(C54="","",IFERROR(INDEX(Products!$C$7:$C$104,MATCH(C54,Products!$B$7:$B$104,0)),"Unknown SKU"))</f>
        <v/>
      </c>
      <c r="E54" s="31"/>
      <c r="F54" s="31"/>
      <c r="G54" s="32"/>
      <c r="H54" s="33" t="str">
        <f aca="false">IF(C54="","",IF(G54="",IFERROR(INDEX(Products!$G$7:$G$104,MATCH(C54,Products!$B$7:$B$104,0)),0),G54))</f>
        <v/>
      </c>
      <c r="I54" s="33" t="str">
        <f aca="false">IF(C54="","",E54*H54)</f>
        <v/>
      </c>
      <c r="J54" s="1"/>
    </row>
    <row r="55" customFormat="false" ht="21.75" hidden="false" customHeight="true" outlineLevel="0" collapsed="false">
      <c r="A55" s="1"/>
      <c r="B55" s="38"/>
      <c r="C55" s="31"/>
      <c r="D55" s="35" t="str">
        <f aca="false">IF(C55="","",IFERROR(INDEX(Products!$C$7:$C$104,MATCH(C55,Products!$B$7:$B$104,0)),"Unknown SKU"))</f>
        <v/>
      </c>
      <c r="E55" s="31"/>
      <c r="F55" s="31"/>
      <c r="G55" s="32"/>
      <c r="H55" s="33" t="str">
        <f aca="false">IF(C55="","",IF(G55="",IFERROR(INDEX(Products!$G$7:$G$104,MATCH(C55,Products!$B$7:$B$104,0)),0),G55))</f>
        <v/>
      </c>
      <c r="I55" s="33" t="str">
        <f aca="false">IF(C55="","",E55*H55)</f>
        <v/>
      </c>
      <c r="J55" s="1"/>
    </row>
    <row r="56" customFormat="false" ht="21.75" hidden="false" customHeight="true" outlineLevel="0" collapsed="false">
      <c r="A56" s="1"/>
      <c r="B56" s="38"/>
      <c r="C56" s="31"/>
      <c r="D56" s="35" t="str">
        <f aca="false">IF(C56="","",IFERROR(INDEX(Products!$C$7:$C$104,MATCH(C56,Products!$B$7:$B$104,0)),"Unknown SKU"))</f>
        <v/>
      </c>
      <c r="E56" s="31"/>
      <c r="F56" s="31"/>
      <c r="G56" s="32"/>
      <c r="H56" s="33" t="str">
        <f aca="false">IF(C56="","",IF(G56="",IFERROR(INDEX(Products!$G$7:$G$104,MATCH(C56,Products!$B$7:$B$104,0)),0),G56))</f>
        <v/>
      </c>
      <c r="I56" s="33" t="str">
        <f aca="false">IF(C56="","",E56*H56)</f>
        <v/>
      </c>
      <c r="J56" s="1"/>
    </row>
    <row r="57" customFormat="false" ht="21.75" hidden="false" customHeight="true" outlineLevel="0" collapsed="false">
      <c r="A57" s="1"/>
      <c r="B57" s="38"/>
      <c r="C57" s="31"/>
      <c r="D57" s="35" t="str">
        <f aca="false">IF(C57="","",IFERROR(INDEX(Products!$C$7:$C$104,MATCH(C57,Products!$B$7:$B$104,0)),"Unknown SKU"))</f>
        <v/>
      </c>
      <c r="E57" s="31"/>
      <c r="F57" s="31"/>
      <c r="G57" s="32"/>
      <c r="H57" s="33" t="str">
        <f aca="false">IF(C57="","",IF(G57="",IFERROR(INDEX(Products!$G$7:$G$104,MATCH(C57,Products!$B$7:$B$104,0)),0),G57))</f>
        <v/>
      </c>
      <c r="I57" s="33" t="str">
        <f aca="false">IF(C57="","",E57*H57)</f>
        <v/>
      </c>
      <c r="J57" s="1"/>
    </row>
    <row r="58" customFormat="false" ht="21.75" hidden="false" customHeight="true" outlineLevel="0" collapsed="false">
      <c r="A58" s="1"/>
      <c r="B58" s="38"/>
      <c r="C58" s="31"/>
      <c r="D58" s="35" t="str">
        <f aca="false">IF(C58="","",IFERROR(INDEX(Products!$C$7:$C$104,MATCH(C58,Products!$B$7:$B$104,0)),"Unknown SKU"))</f>
        <v/>
      </c>
      <c r="E58" s="31"/>
      <c r="F58" s="31"/>
      <c r="G58" s="32"/>
      <c r="H58" s="33" t="str">
        <f aca="false">IF(C58="","",IF(G58="",IFERROR(INDEX(Products!$G$7:$G$104,MATCH(C58,Products!$B$7:$B$104,0)),0),G58))</f>
        <v/>
      </c>
      <c r="I58" s="33" t="str">
        <f aca="false">IF(C58="","",E58*H58)</f>
        <v/>
      </c>
      <c r="J58" s="1"/>
    </row>
    <row r="59" customFormat="false" ht="21.75" hidden="false" customHeight="true" outlineLevel="0" collapsed="false">
      <c r="A59" s="1"/>
      <c r="B59" s="38"/>
      <c r="C59" s="31"/>
      <c r="D59" s="35" t="str">
        <f aca="false">IF(C59="","",IFERROR(INDEX(Products!$C$7:$C$104,MATCH(C59,Products!$B$7:$B$104,0)),"Unknown SKU"))</f>
        <v/>
      </c>
      <c r="E59" s="31"/>
      <c r="F59" s="31"/>
      <c r="G59" s="32"/>
      <c r="H59" s="33" t="str">
        <f aca="false">IF(C59="","",IF(G59="",IFERROR(INDEX(Products!$G$7:$G$104,MATCH(C59,Products!$B$7:$B$104,0)),0),G59))</f>
        <v/>
      </c>
      <c r="I59" s="33" t="str">
        <f aca="false">IF(C59="","",E59*H59)</f>
        <v/>
      </c>
      <c r="J59" s="1"/>
    </row>
    <row r="60" customFormat="false" ht="21.75" hidden="false" customHeight="true" outlineLevel="0" collapsed="false">
      <c r="A60" s="1"/>
      <c r="B60" s="38"/>
      <c r="C60" s="31"/>
      <c r="D60" s="35" t="str">
        <f aca="false">IF(C60="","",IFERROR(INDEX(Products!$C$7:$C$104,MATCH(C60,Products!$B$7:$B$104,0)),"Unknown SKU"))</f>
        <v/>
      </c>
      <c r="E60" s="31"/>
      <c r="F60" s="31"/>
      <c r="G60" s="32"/>
      <c r="H60" s="33" t="str">
        <f aca="false">IF(C60="","",IF(G60="",IFERROR(INDEX(Products!$G$7:$G$104,MATCH(C60,Products!$B$7:$B$104,0)),0),G60))</f>
        <v/>
      </c>
      <c r="I60" s="33" t="str">
        <f aca="false">IF(C60="","",E60*H60)</f>
        <v/>
      </c>
      <c r="J60" s="1"/>
    </row>
    <row r="61" customFormat="false" ht="21.75" hidden="false" customHeight="true" outlineLevel="0" collapsed="false">
      <c r="A61" s="1"/>
      <c r="B61" s="38"/>
      <c r="C61" s="31"/>
      <c r="D61" s="35" t="str">
        <f aca="false">IF(C61="","",IFERROR(INDEX(Products!$C$7:$C$104,MATCH(C61,Products!$B$7:$B$104,0)),"Unknown SKU"))</f>
        <v/>
      </c>
      <c r="E61" s="31"/>
      <c r="F61" s="31"/>
      <c r="G61" s="32"/>
      <c r="H61" s="33" t="str">
        <f aca="false">IF(C61="","",IF(G61="",IFERROR(INDEX(Products!$G$7:$G$104,MATCH(C61,Products!$B$7:$B$104,0)),0),G61))</f>
        <v/>
      </c>
      <c r="I61" s="33" t="str">
        <f aca="false">IF(C61="","",E61*H61)</f>
        <v/>
      </c>
      <c r="J61" s="1"/>
    </row>
    <row r="62" customFormat="false" ht="21.75" hidden="false" customHeight="true" outlineLevel="0" collapsed="false">
      <c r="A62" s="1"/>
      <c r="B62" s="38"/>
      <c r="C62" s="31"/>
      <c r="D62" s="35" t="str">
        <f aca="false">IF(C62="","",IFERROR(INDEX(Products!$C$7:$C$104,MATCH(C62,Products!$B$7:$B$104,0)),"Unknown SKU"))</f>
        <v/>
      </c>
      <c r="E62" s="31"/>
      <c r="F62" s="31"/>
      <c r="G62" s="32"/>
      <c r="H62" s="33" t="str">
        <f aca="false">IF(C62="","",IF(G62="",IFERROR(INDEX(Products!$G$7:$G$104,MATCH(C62,Products!$B$7:$B$104,0)),0),G62))</f>
        <v/>
      </c>
      <c r="I62" s="33" t="str">
        <f aca="false">IF(C62="","",E62*H62)</f>
        <v/>
      </c>
      <c r="J62" s="1"/>
    </row>
    <row r="63" customFormat="false" ht="21.75" hidden="false" customHeight="true" outlineLevel="0" collapsed="false">
      <c r="A63" s="1"/>
      <c r="B63" s="38"/>
      <c r="C63" s="31"/>
      <c r="D63" s="35" t="str">
        <f aca="false">IF(C63="","",IFERROR(INDEX(Products!$C$7:$C$104,MATCH(C63,Products!$B$7:$B$104,0)),"Unknown SKU"))</f>
        <v/>
      </c>
      <c r="E63" s="31"/>
      <c r="F63" s="31"/>
      <c r="G63" s="32"/>
      <c r="H63" s="33" t="str">
        <f aca="false">IF(C63="","",IF(G63="",IFERROR(INDEX(Products!$G$7:$G$104,MATCH(C63,Products!$B$7:$B$104,0)),0),G63))</f>
        <v/>
      </c>
      <c r="I63" s="33" t="str">
        <f aca="false">IF(C63="","",E63*H63)</f>
        <v/>
      </c>
      <c r="J63" s="1"/>
    </row>
    <row r="64" customFormat="false" ht="21.75" hidden="false" customHeight="true" outlineLevel="0" collapsed="false">
      <c r="A64" s="1"/>
      <c r="B64" s="38"/>
      <c r="C64" s="31"/>
      <c r="D64" s="35" t="str">
        <f aca="false">IF(C64="","",IFERROR(INDEX(Products!$C$7:$C$104,MATCH(C64,Products!$B$7:$B$104,0)),"Unknown SKU"))</f>
        <v/>
      </c>
      <c r="E64" s="31"/>
      <c r="F64" s="31"/>
      <c r="G64" s="32"/>
      <c r="H64" s="33" t="str">
        <f aca="false">IF(C64="","",IF(G64="",IFERROR(INDEX(Products!$G$7:$G$104,MATCH(C64,Products!$B$7:$B$104,0)),0),G64))</f>
        <v/>
      </c>
      <c r="I64" s="33" t="str">
        <f aca="false">IF(C64="","",E64*H64)</f>
        <v/>
      </c>
      <c r="J64" s="1"/>
    </row>
    <row r="65" customFormat="false" ht="21.75" hidden="false" customHeight="true" outlineLevel="0" collapsed="false">
      <c r="A65" s="1"/>
      <c r="B65" s="38"/>
      <c r="C65" s="31"/>
      <c r="D65" s="35" t="str">
        <f aca="false">IF(C65="","",IFERROR(INDEX(Products!$C$7:$C$104,MATCH(C65,Products!$B$7:$B$104,0)),"Unknown SKU"))</f>
        <v/>
      </c>
      <c r="E65" s="31"/>
      <c r="F65" s="31"/>
      <c r="G65" s="32"/>
      <c r="H65" s="33" t="str">
        <f aca="false">IF(C65="","",IF(G65="",IFERROR(INDEX(Products!$G$7:$G$104,MATCH(C65,Products!$B$7:$B$104,0)),0),G65))</f>
        <v/>
      </c>
      <c r="I65" s="33" t="str">
        <f aca="false">IF(C65="","",E65*H65)</f>
        <v/>
      </c>
      <c r="J65" s="1"/>
    </row>
    <row r="66" customFormat="false" ht="21.75" hidden="false" customHeight="true" outlineLevel="0" collapsed="false">
      <c r="A66" s="1"/>
      <c r="B66" s="38"/>
      <c r="C66" s="31"/>
      <c r="D66" s="35" t="str">
        <f aca="false">IF(C66="","",IFERROR(INDEX(Products!$C$7:$C$104,MATCH(C66,Products!$B$7:$B$104,0)),"Unknown SKU"))</f>
        <v/>
      </c>
      <c r="E66" s="31"/>
      <c r="F66" s="31"/>
      <c r="G66" s="32"/>
      <c r="H66" s="33" t="str">
        <f aca="false">IF(C66="","",IF(G66="",IFERROR(INDEX(Products!$G$7:$G$104,MATCH(C66,Products!$B$7:$B$104,0)),0),G66))</f>
        <v/>
      </c>
      <c r="I66" s="33" t="str">
        <f aca="false">IF(C66="","",E66*H66)</f>
        <v/>
      </c>
      <c r="J66" s="1"/>
    </row>
    <row r="67" customFormat="false" ht="21.75" hidden="false" customHeight="true" outlineLevel="0" collapsed="false">
      <c r="A67" s="1"/>
      <c r="B67" s="38"/>
      <c r="C67" s="31"/>
      <c r="D67" s="35" t="str">
        <f aca="false">IF(C67="","",IFERROR(INDEX(Products!$C$7:$C$104,MATCH(C67,Products!$B$7:$B$104,0)),"Unknown SKU"))</f>
        <v/>
      </c>
      <c r="E67" s="31"/>
      <c r="F67" s="31"/>
      <c r="G67" s="32"/>
      <c r="H67" s="33" t="str">
        <f aca="false">IF(C67="","",IF(G67="",IFERROR(INDEX(Products!$G$7:$G$104,MATCH(C67,Products!$B$7:$B$104,0)),0),G67))</f>
        <v/>
      </c>
      <c r="I67" s="33" t="str">
        <f aca="false">IF(C67="","",E67*H67)</f>
        <v/>
      </c>
      <c r="J67" s="1"/>
    </row>
    <row r="68" customFormat="false" ht="21.75" hidden="false" customHeight="true" outlineLevel="0" collapsed="false">
      <c r="A68" s="1"/>
      <c r="B68" s="38"/>
      <c r="C68" s="31"/>
      <c r="D68" s="35" t="str">
        <f aca="false">IF(C68="","",IFERROR(INDEX(Products!$C$7:$C$104,MATCH(C68,Products!$B$7:$B$104,0)),"Unknown SKU"))</f>
        <v/>
      </c>
      <c r="E68" s="31"/>
      <c r="F68" s="31"/>
      <c r="G68" s="32"/>
      <c r="H68" s="33" t="str">
        <f aca="false">IF(C68="","",IF(G68="",IFERROR(INDEX(Products!$G$7:$G$104,MATCH(C68,Products!$B$7:$B$104,0)),0),G68))</f>
        <v/>
      </c>
      <c r="I68" s="33" t="str">
        <f aca="false">IF(C68="","",E68*H68)</f>
        <v/>
      </c>
      <c r="J68" s="1"/>
    </row>
    <row r="69" customFormat="false" ht="21.75" hidden="false" customHeight="true" outlineLevel="0" collapsed="false">
      <c r="A69" s="1"/>
      <c r="B69" s="38"/>
      <c r="C69" s="31"/>
      <c r="D69" s="35" t="str">
        <f aca="false">IF(C69="","",IFERROR(INDEX(Products!$C$7:$C$104,MATCH(C69,Products!$B$7:$B$104,0)),"Unknown SKU"))</f>
        <v/>
      </c>
      <c r="E69" s="31"/>
      <c r="F69" s="31"/>
      <c r="G69" s="32"/>
      <c r="H69" s="33" t="str">
        <f aca="false">IF(C69="","",IF(G69="",IFERROR(INDEX(Products!$G$7:$G$104,MATCH(C69,Products!$B$7:$B$104,0)),0),G69))</f>
        <v/>
      </c>
      <c r="I69" s="33" t="str">
        <f aca="false">IF(C69="","",E69*H69)</f>
        <v/>
      </c>
      <c r="J69" s="1"/>
    </row>
    <row r="70" customFormat="false" ht="21.75" hidden="false" customHeight="true" outlineLevel="0" collapsed="false">
      <c r="A70" s="1"/>
      <c r="B70" s="38"/>
      <c r="C70" s="31"/>
      <c r="D70" s="35" t="str">
        <f aca="false">IF(C70="","",IFERROR(INDEX(Products!$C$7:$C$104,MATCH(C70,Products!$B$7:$B$104,0)),"Unknown SKU"))</f>
        <v/>
      </c>
      <c r="E70" s="31"/>
      <c r="F70" s="31"/>
      <c r="G70" s="32"/>
      <c r="H70" s="33" t="str">
        <f aca="false">IF(C70="","",IF(G70="",IFERROR(INDEX(Products!$G$7:$G$104,MATCH(C70,Products!$B$7:$B$104,0)),0),G70))</f>
        <v/>
      </c>
      <c r="I70" s="33" t="str">
        <f aca="false">IF(C70="","",E70*H70)</f>
        <v/>
      </c>
      <c r="J70" s="1"/>
    </row>
    <row r="71" customFormat="false" ht="21.75" hidden="false" customHeight="true" outlineLevel="0" collapsed="false">
      <c r="A71" s="1"/>
      <c r="B71" s="38"/>
      <c r="C71" s="31"/>
      <c r="D71" s="35" t="str">
        <f aca="false">IF(C71="","",IFERROR(INDEX(Products!$C$7:$C$104,MATCH(C71,Products!$B$7:$B$104,0)),"Unknown SKU"))</f>
        <v/>
      </c>
      <c r="E71" s="31"/>
      <c r="F71" s="31"/>
      <c r="G71" s="32"/>
      <c r="H71" s="33" t="str">
        <f aca="false">IF(C71="","",IF(G71="",IFERROR(INDEX(Products!$G$7:$G$104,MATCH(C71,Products!$B$7:$B$104,0)),0),G71))</f>
        <v/>
      </c>
      <c r="I71" s="33" t="str">
        <f aca="false">IF(C71="","",E71*H71)</f>
        <v/>
      </c>
      <c r="J71" s="1"/>
    </row>
    <row r="72" customFormat="false" ht="21.75" hidden="false" customHeight="true" outlineLevel="0" collapsed="false">
      <c r="A72" s="1"/>
      <c r="B72" s="38"/>
      <c r="C72" s="31"/>
      <c r="D72" s="35" t="str">
        <f aca="false">IF(C72="","",IFERROR(INDEX(Products!$C$7:$C$104,MATCH(C72,Products!$B$7:$B$104,0)),"Unknown SKU"))</f>
        <v/>
      </c>
      <c r="E72" s="31"/>
      <c r="F72" s="31"/>
      <c r="G72" s="32"/>
      <c r="H72" s="33" t="str">
        <f aca="false">IF(C72="","",IF(G72="",IFERROR(INDEX(Products!$G$7:$G$104,MATCH(C72,Products!$B$7:$B$104,0)),0),G72))</f>
        <v/>
      </c>
      <c r="I72" s="33" t="str">
        <f aca="false">IF(C72="","",E72*H72)</f>
        <v/>
      </c>
      <c r="J72" s="1"/>
    </row>
    <row r="73" customFormat="false" ht="21.75" hidden="false" customHeight="true" outlineLevel="0" collapsed="false">
      <c r="A73" s="1"/>
      <c r="B73" s="38"/>
      <c r="C73" s="31"/>
      <c r="D73" s="35" t="str">
        <f aca="false">IF(C73="","",IFERROR(INDEX(Products!$C$7:$C$104,MATCH(C73,Products!$B$7:$B$104,0)),"Unknown SKU"))</f>
        <v/>
      </c>
      <c r="E73" s="31"/>
      <c r="F73" s="31"/>
      <c r="G73" s="32"/>
      <c r="H73" s="33" t="str">
        <f aca="false">IF(C73="","",IF(G73="",IFERROR(INDEX(Products!$G$7:$G$104,MATCH(C73,Products!$B$7:$B$104,0)),0),G73))</f>
        <v/>
      </c>
      <c r="I73" s="33" t="str">
        <f aca="false">IF(C73="","",E73*H73)</f>
        <v/>
      </c>
      <c r="J73" s="1"/>
    </row>
    <row r="74" customFormat="false" ht="21.75" hidden="false" customHeight="true" outlineLevel="0" collapsed="false">
      <c r="A74" s="1"/>
      <c r="B74" s="38"/>
      <c r="C74" s="31"/>
      <c r="D74" s="35" t="str">
        <f aca="false">IF(C74="","",IFERROR(INDEX(Products!$C$7:$C$104,MATCH(C74,Products!$B$7:$B$104,0)),"Unknown SKU"))</f>
        <v/>
      </c>
      <c r="E74" s="31"/>
      <c r="F74" s="31"/>
      <c r="G74" s="32"/>
      <c r="H74" s="33" t="str">
        <f aca="false">IF(C74="","",IF(G74="",IFERROR(INDEX(Products!$G$7:$G$104,MATCH(C74,Products!$B$7:$B$104,0)),0),G74))</f>
        <v/>
      </c>
      <c r="I74" s="33" t="str">
        <f aca="false">IF(C74="","",E74*H74)</f>
        <v/>
      </c>
      <c r="J74" s="1"/>
    </row>
    <row r="75" customFormat="false" ht="21.75" hidden="false" customHeight="true" outlineLevel="0" collapsed="false">
      <c r="A75" s="1"/>
      <c r="B75" s="38"/>
      <c r="C75" s="31"/>
      <c r="D75" s="35" t="str">
        <f aca="false">IF(C75="","",IFERROR(INDEX(Products!$C$7:$C$104,MATCH(C75,Products!$B$7:$B$104,0)),"Unknown SKU"))</f>
        <v/>
      </c>
      <c r="E75" s="31"/>
      <c r="F75" s="31"/>
      <c r="G75" s="32"/>
      <c r="H75" s="33" t="str">
        <f aca="false">IF(C75="","",IF(G75="",IFERROR(INDEX(Products!$G$7:$G$104,MATCH(C75,Products!$B$7:$B$104,0)),0),G75))</f>
        <v/>
      </c>
      <c r="I75" s="33" t="str">
        <f aca="false">IF(C75="","",E75*H75)</f>
        <v/>
      </c>
      <c r="J75" s="1"/>
    </row>
    <row r="76" customFormat="false" ht="21.75" hidden="false" customHeight="true" outlineLevel="0" collapsed="false">
      <c r="A76" s="1"/>
      <c r="B76" s="38"/>
      <c r="C76" s="31"/>
      <c r="D76" s="35" t="str">
        <f aca="false">IF(C76="","",IFERROR(INDEX(Products!$C$7:$C$104,MATCH(C76,Products!$B$7:$B$104,0)),"Unknown SKU"))</f>
        <v/>
      </c>
      <c r="E76" s="31"/>
      <c r="F76" s="31"/>
      <c r="G76" s="32"/>
      <c r="H76" s="33" t="str">
        <f aca="false">IF(C76="","",IF(G76="",IFERROR(INDEX(Products!$G$7:$G$104,MATCH(C76,Products!$B$7:$B$104,0)),0),G76))</f>
        <v/>
      </c>
      <c r="I76" s="33" t="str">
        <f aca="false">IF(C76="","",E76*H76)</f>
        <v/>
      </c>
      <c r="J76" s="1"/>
    </row>
    <row r="77" customFormat="false" ht="21.75" hidden="false" customHeight="true" outlineLevel="0" collapsed="false">
      <c r="A77" s="1"/>
      <c r="B77" s="38"/>
      <c r="C77" s="31"/>
      <c r="D77" s="35" t="str">
        <f aca="false">IF(C77="","",IFERROR(INDEX(Products!$C$7:$C$104,MATCH(C77,Products!$B$7:$B$104,0)),"Unknown SKU"))</f>
        <v/>
      </c>
      <c r="E77" s="31"/>
      <c r="F77" s="31"/>
      <c r="G77" s="32"/>
      <c r="H77" s="33" t="str">
        <f aca="false">IF(C77="","",IF(G77="",IFERROR(INDEX(Products!$G$7:$G$104,MATCH(C77,Products!$B$7:$B$104,0)),0),G77))</f>
        <v/>
      </c>
      <c r="I77" s="33" t="str">
        <f aca="false">IF(C77="","",E77*H77)</f>
        <v/>
      </c>
      <c r="J77" s="1"/>
    </row>
    <row r="78" customFormat="false" ht="21.75" hidden="false" customHeight="true" outlineLevel="0" collapsed="false">
      <c r="A78" s="1"/>
      <c r="B78" s="38"/>
      <c r="C78" s="31"/>
      <c r="D78" s="35" t="str">
        <f aca="false">IF(C78="","",IFERROR(INDEX(Products!$C$7:$C$104,MATCH(C78,Products!$B$7:$B$104,0)),"Unknown SKU"))</f>
        <v/>
      </c>
      <c r="E78" s="31"/>
      <c r="F78" s="31"/>
      <c r="G78" s="32"/>
      <c r="H78" s="33" t="str">
        <f aca="false">IF(C78="","",IF(G78="",IFERROR(INDEX(Products!$G$7:$G$104,MATCH(C78,Products!$B$7:$B$104,0)),0),G78))</f>
        <v/>
      </c>
      <c r="I78" s="33" t="str">
        <f aca="false">IF(C78="","",E78*H78)</f>
        <v/>
      </c>
      <c r="J78" s="1"/>
    </row>
    <row r="79" customFormat="false" ht="21.75" hidden="false" customHeight="true" outlineLevel="0" collapsed="false">
      <c r="A79" s="1"/>
      <c r="B79" s="38"/>
      <c r="C79" s="31"/>
      <c r="D79" s="35" t="str">
        <f aca="false">IF(C79="","",IFERROR(INDEX(Products!$C$7:$C$104,MATCH(C79,Products!$B$7:$B$104,0)),"Unknown SKU"))</f>
        <v/>
      </c>
      <c r="E79" s="31"/>
      <c r="F79" s="31"/>
      <c r="G79" s="32"/>
      <c r="H79" s="33" t="str">
        <f aca="false">IF(C79="","",IF(G79="",IFERROR(INDEX(Products!$G$7:$G$104,MATCH(C79,Products!$B$7:$B$104,0)),0),G79))</f>
        <v/>
      </c>
      <c r="I79" s="33" t="str">
        <f aca="false">IF(C79="","",E79*H79)</f>
        <v/>
      </c>
      <c r="J79" s="1"/>
    </row>
    <row r="80" customFormat="false" ht="21.75" hidden="false" customHeight="true" outlineLevel="0" collapsed="false">
      <c r="A80" s="1"/>
      <c r="B80" s="38"/>
      <c r="C80" s="31"/>
      <c r="D80" s="35" t="str">
        <f aca="false">IF(C80="","",IFERROR(INDEX(Products!$C$7:$C$104,MATCH(C80,Products!$B$7:$B$104,0)),"Unknown SKU"))</f>
        <v/>
      </c>
      <c r="E80" s="31"/>
      <c r="F80" s="31"/>
      <c r="G80" s="32"/>
      <c r="H80" s="33" t="str">
        <f aca="false">IF(C80="","",IF(G80="",IFERROR(INDEX(Products!$G$7:$G$104,MATCH(C80,Products!$B$7:$B$104,0)),0),G80))</f>
        <v/>
      </c>
      <c r="I80" s="33" t="str">
        <f aca="false">IF(C80="","",E80*H80)</f>
        <v/>
      </c>
      <c r="J80" s="1"/>
    </row>
    <row r="81" customFormat="false" ht="21.75" hidden="false" customHeight="true" outlineLevel="0" collapsed="false">
      <c r="A81" s="1"/>
      <c r="B81" s="38"/>
      <c r="C81" s="31"/>
      <c r="D81" s="35" t="str">
        <f aca="false">IF(C81="","",IFERROR(INDEX(Products!$C$7:$C$104,MATCH(C81,Products!$B$7:$B$104,0)),"Unknown SKU"))</f>
        <v/>
      </c>
      <c r="E81" s="31"/>
      <c r="F81" s="31"/>
      <c r="G81" s="32"/>
      <c r="H81" s="33" t="str">
        <f aca="false">IF(C81="","",IF(G81="",IFERROR(INDEX(Products!$G$7:$G$104,MATCH(C81,Products!$B$7:$B$104,0)),0),G81))</f>
        <v/>
      </c>
      <c r="I81" s="33" t="str">
        <f aca="false">IF(C81="","",E81*H81)</f>
        <v/>
      </c>
      <c r="J81" s="1"/>
    </row>
    <row r="82" customFormat="false" ht="21.75" hidden="false" customHeight="true" outlineLevel="0" collapsed="false">
      <c r="A82" s="1"/>
      <c r="B82" s="38"/>
      <c r="C82" s="31"/>
      <c r="D82" s="35" t="str">
        <f aca="false">IF(C82="","",IFERROR(INDEX(Products!$C$7:$C$104,MATCH(C82,Products!$B$7:$B$104,0)),"Unknown SKU"))</f>
        <v/>
      </c>
      <c r="E82" s="31"/>
      <c r="F82" s="31"/>
      <c r="G82" s="32"/>
      <c r="H82" s="33" t="str">
        <f aca="false">IF(C82="","",IF(G82="",IFERROR(INDEX(Products!$G$7:$G$104,MATCH(C82,Products!$B$7:$B$104,0)),0),G82))</f>
        <v/>
      </c>
      <c r="I82" s="33" t="str">
        <f aca="false">IF(C82="","",E82*H82)</f>
        <v/>
      </c>
      <c r="J82" s="1"/>
    </row>
    <row r="83" customFormat="false" ht="21.75" hidden="false" customHeight="true" outlineLevel="0" collapsed="false">
      <c r="A83" s="1"/>
      <c r="B83" s="38"/>
      <c r="C83" s="31"/>
      <c r="D83" s="35" t="str">
        <f aca="false">IF(C83="","",IFERROR(INDEX(Products!$C$7:$C$104,MATCH(C83,Products!$B$7:$B$104,0)),"Unknown SKU"))</f>
        <v/>
      </c>
      <c r="E83" s="31"/>
      <c r="F83" s="31"/>
      <c r="G83" s="32"/>
      <c r="H83" s="33" t="str">
        <f aca="false">IF(C83="","",IF(G83="",IFERROR(INDEX(Products!$G$7:$G$104,MATCH(C83,Products!$B$7:$B$104,0)),0),G83))</f>
        <v/>
      </c>
      <c r="I83" s="33" t="str">
        <f aca="false">IF(C83="","",E83*H83)</f>
        <v/>
      </c>
      <c r="J83" s="1"/>
    </row>
    <row r="84" customFormat="false" ht="21.75" hidden="false" customHeight="true" outlineLevel="0" collapsed="false">
      <c r="A84" s="1"/>
      <c r="B84" s="38"/>
      <c r="C84" s="31"/>
      <c r="D84" s="35" t="str">
        <f aca="false">IF(C84="","",IFERROR(INDEX(Products!$C$7:$C$104,MATCH(C84,Products!$B$7:$B$104,0)),"Unknown SKU"))</f>
        <v/>
      </c>
      <c r="E84" s="31"/>
      <c r="F84" s="31"/>
      <c r="G84" s="32"/>
      <c r="H84" s="33" t="str">
        <f aca="false">IF(C84="","",IF(G84="",IFERROR(INDEX(Products!$G$7:$G$104,MATCH(C84,Products!$B$7:$B$104,0)),0),G84))</f>
        <v/>
      </c>
      <c r="I84" s="33" t="str">
        <f aca="false">IF(C84="","",E84*H84)</f>
        <v/>
      </c>
      <c r="J84" s="1"/>
    </row>
    <row r="85" customFormat="false" ht="21.75" hidden="false" customHeight="true" outlineLevel="0" collapsed="false">
      <c r="A85" s="1"/>
      <c r="B85" s="38"/>
      <c r="C85" s="31"/>
      <c r="D85" s="35" t="str">
        <f aca="false">IF(C85="","",IFERROR(INDEX(Products!$C$7:$C$104,MATCH(C85,Products!$B$7:$B$104,0)),"Unknown SKU"))</f>
        <v/>
      </c>
      <c r="E85" s="31"/>
      <c r="F85" s="31"/>
      <c r="G85" s="32"/>
      <c r="H85" s="33" t="str">
        <f aca="false">IF(C85="","",IF(G85="",IFERROR(INDEX(Products!$G$7:$G$104,MATCH(C85,Products!$B$7:$B$104,0)),0),G85))</f>
        <v/>
      </c>
      <c r="I85" s="33" t="str">
        <f aca="false">IF(C85="","",E85*H85)</f>
        <v/>
      </c>
      <c r="J85" s="1"/>
    </row>
    <row r="86" customFormat="false" ht="21.75" hidden="false" customHeight="true" outlineLevel="0" collapsed="false">
      <c r="A86" s="1"/>
      <c r="B86" s="38"/>
      <c r="C86" s="31"/>
      <c r="D86" s="35" t="str">
        <f aca="false">IF(C86="","",IFERROR(INDEX(Products!$C$7:$C$104,MATCH(C86,Products!$B$7:$B$104,0)),"Unknown SKU"))</f>
        <v/>
      </c>
      <c r="E86" s="31"/>
      <c r="F86" s="31"/>
      <c r="G86" s="32"/>
      <c r="H86" s="33" t="str">
        <f aca="false">IF(C86="","",IF(G86="",IFERROR(INDEX(Products!$G$7:$G$104,MATCH(C86,Products!$B$7:$B$104,0)),0),G86))</f>
        <v/>
      </c>
      <c r="I86" s="33" t="str">
        <f aca="false">IF(C86="","",E86*H86)</f>
        <v/>
      </c>
      <c r="J86" s="1"/>
    </row>
    <row r="87" customFormat="false" ht="21.75" hidden="false" customHeight="true" outlineLevel="0" collapsed="false">
      <c r="A87" s="1"/>
      <c r="B87" s="38"/>
      <c r="C87" s="31"/>
      <c r="D87" s="35" t="str">
        <f aca="false">IF(C87="","",IFERROR(INDEX(Products!$C$7:$C$104,MATCH(C87,Products!$B$7:$B$104,0)),"Unknown SKU"))</f>
        <v/>
      </c>
      <c r="E87" s="31"/>
      <c r="F87" s="31"/>
      <c r="G87" s="32"/>
      <c r="H87" s="33" t="str">
        <f aca="false">IF(C87="","",IF(G87="",IFERROR(INDEX(Products!$G$7:$G$104,MATCH(C87,Products!$B$7:$B$104,0)),0),G87))</f>
        <v/>
      </c>
      <c r="I87" s="33" t="str">
        <f aca="false">IF(C87="","",E87*H87)</f>
        <v/>
      </c>
      <c r="J87" s="1"/>
    </row>
    <row r="88" customFormat="false" ht="21.75" hidden="false" customHeight="true" outlineLevel="0" collapsed="false">
      <c r="A88" s="1"/>
      <c r="B88" s="38"/>
      <c r="C88" s="31"/>
      <c r="D88" s="35" t="str">
        <f aca="false">IF(C88="","",IFERROR(INDEX(Products!$C$7:$C$104,MATCH(C88,Products!$B$7:$B$104,0)),"Unknown SKU"))</f>
        <v/>
      </c>
      <c r="E88" s="31"/>
      <c r="F88" s="31"/>
      <c r="G88" s="32"/>
      <c r="H88" s="33" t="str">
        <f aca="false">IF(C88="","",IF(G88="",IFERROR(INDEX(Products!$G$7:$G$104,MATCH(C88,Products!$B$7:$B$104,0)),0),G88))</f>
        <v/>
      </c>
      <c r="I88" s="33" t="str">
        <f aca="false">IF(C88="","",E88*H88)</f>
        <v/>
      </c>
      <c r="J88" s="1"/>
    </row>
    <row r="89" customFormat="false" ht="21.75" hidden="false" customHeight="true" outlineLevel="0" collapsed="false">
      <c r="A89" s="1"/>
      <c r="B89" s="38"/>
      <c r="C89" s="31"/>
      <c r="D89" s="35" t="str">
        <f aca="false">IF(C89="","",IFERROR(INDEX(Products!$C$7:$C$104,MATCH(C89,Products!$B$7:$B$104,0)),"Unknown SKU"))</f>
        <v/>
      </c>
      <c r="E89" s="31"/>
      <c r="F89" s="31"/>
      <c r="G89" s="32"/>
      <c r="H89" s="33" t="str">
        <f aca="false">IF(C89="","",IF(G89="",IFERROR(INDEX(Products!$G$7:$G$104,MATCH(C89,Products!$B$7:$B$104,0)),0),G89))</f>
        <v/>
      </c>
      <c r="I89" s="33" t="str">
        <f aca="false">IF(C89="","",E89*H89)</f>
        <v/>
      </c>
      <c r="J89" s="1"/>
    </row>
    <row r="90" customFormat="false" ht="21.75" hidden="false" customHeight="true" outlineLevel="0" collapsed="false">
      <c r="A90" s="1"/>
      <c r="B90" s="38"/>
      <c r="C90" s="31"/>
      <c r="D90" s="35" t="str">
        <f aca="false">IF(C90="","",IFERROR(INDEX(Products!$C$7:$C$104,MATCH(C90,Products!$B$7:$B$104,0)),"Unknown SKU"))</f>
        <v/>
      </c>
      <c r="E90" s="31"/>
      <c r="F90" s="31"/>
      <c r="G90" s="32"/>
      <c r="H90" s="33" t="str">
        <f aca="false">IF(C90="","",IF(G90="",IFERROR(INDEX(Products!$G$7:$G$104,MATCH(C90,Products!$B$7:$B$104,0)),0),G90))</f>
        <v/>
      </c>
      <c r="I90" s="33" t="str">
        <f aca="false">IF(C90="","",E90*H90)</f>
        <v/>
      </c>
      <c r="J90" s="1"/>
    </row>
    <row r="91" customFormat="false" ht="21.75" hidden="false" customHeight="true" outlineLevel="0" collapsed="false">
      <c r="A91" s="1"/>
      <c r="B91" s="38"/>
      <c r="C91" s="31"/>
      <c r="D91" s="35" t="str">
        <f aca="false">IF(C91="","",IFERROR(INDEX(Products!$C$7:$C$104,MATCH(C91,Products!$B$7:$B$104,0)),"Unknown SKU"))</f>
        <v/>
      </c>
      <c r="E91" s="31"/>
      <c r="F91" s="31"/>
      <c r="G91" s="32"/>
      <c r="H91" s="33" t="str">
        <f aca="false">IF(C91="","",IF(G91="",IFERROR(INDEX(Products!$G$7:$G$104,MATCH(C91,Products!$B$7:$B$104,0)),0),G91))</f>
        <v/>
      </c>
      <c r="I91" s="33" t="str">
        <f aca="false">IF(C91="","",E91*H91)</f>
        <v/>
      </c>
      <c r="J91" s="1"/>
    </row>
    <row r="92" customFormat="false" ht="21.75" hidden="false" customHeight="true" outlineLevel="0" collapsed="false">
      <c r="A92" s="1"/>
      <c r="B92" s="38"/>
      <c r="C92" s="31"/>
      <c r="D92" s="35" t="str">
        <f aca="false">IF(C92="","",IFERROR(INDEX(Products!$C$7:$C$104,MATCH(C92,Products!$B$7:$B$104,0)),"Unknown SKU"))</f>
        <v/>
      </c>
      <c r="E92" s="31"/>
      <c r="F92" s="31"/>
      <c r="G92" s="32"/>
      <c r="H92" s="33" t="str">
        <f aca="false">IF(C92="","",IF(G92="",IFERROR(INDEX(Products!$G$7:$G$104,MATCH(C92,Products!$B$7:$B$104,0)),0),G92))</f>
        <v/>
      </c>
      <c r="I92" s="33" t="str">
        <f aca="false">IF(C92="","",E92*H92)</f>
        <v/>
      </c>
      <c r="J92" s="1"/>
    </row>
    <row r="93" customFormat="false" ht="21.75" hidden="false" customHeight="true" outlineLevel="0" collapsed="false">
      <c r="A93" s="1"/>
      <c r="B93" s="38"/>
      <c r="C93" s="31"/>
      <c r="D93" s="35" t="str">
        <f aca="false">IF(C93="","",IFERROR(INDEX(Products!$C$7:$C$104,MATCH(C93,Products!$B$7:$B$104,0)),"Unknown SKU"))</f>
        <v/>
      </c>
      <c r="E93" s="31"/>
      <c r="F93" s="31"/>
      <c r="G93" s="32"/>
      <c r="H93" s="33" t="str">
        <f aca="false">IF(C93="","",IF(G93="",IFERROR(INDEX(Products!$G$7:$G$104,MATCH(C93,Products!$B$7:$B$104,0)),0),G93))</f>
        <v/>
      </c>
      <c r="I93" s="33" t="str">
        <f aca="false">IF(C93="","",E93*H93)</f>
        <v/>
      </c>
      <c r="J93" s="1"/>
    </row>
    <row r="94" customFormat="false" ht="21.75" hidden="false" customHeight="true" outlineLevel="0" collapsed="false">
      <c r="A94" s="1"/>
      <c r="B94" s="38"/>
      <c r="C94" s="31"/>
      <c r="D94" s="35" t="str">
        <f aca="false">IF(C94="","",IFERROR(INDEX(Products!$C$7:$C$104,MATCH(C94,Products!$B$7:$B$104,0)),"Unknown SKU"))</f>
        <v/>
      </c>
      <c r="E94" s="31"/>
      <c r="F94" s="31"/>
      <c r="G94" s="32"/>
      <c r="H94" s="33" t="str">
        <f aca="false">IF(C94="","",IF(G94="",IFERROR(INDEX(Products!$G$7:$G$104,MATCH(C94,Products!$B$7:$B$104,0)),0),G94))</f>
        <v/>
      </c>
      <c r="I94" s="33" t="str">
        <f aca="false">IF(C94="","",E94*H94)</f>
        <v/>
      </c>
      <c r="J94" s="1"/>
    </row>
    <row r="95" customFormat="false" ht="21.75" hidden="false" customHeight="true" outlineLevel="0" collapsed="false">
      <c r="A95" s="1"/>
      <c r="B95" s="38"/>
      <c r="C95" s="31"/>
      <c r="D95" s="35" t="str">
        <f aca="false">IF(C95="","",IFERROR(INDEX(Products!$C$7:$C$104,MATCH(C95,Products!$B$7:$B$104,0)),"Unknown SKU"))</f>
        <v/>
      </c>
      <c r="E95" s="31"/>
      <c r="F95" s="31"/>
      <c r="G95" s="32"/>
      <c r="H95" s="33" t="str">
        <f aca="false">IF(C95="","",IF(G95="",IFERROR(INDEX(Products!$G$7:$G$104,MATCH(C95,Products!$B$7:$B$104,0)),0),G95))</f>
        <v/>
      </c>
      <c r="I95" s="33" t="str">
        <f aca="false">IF(C95="","",E95*H95)</f>
        <v/>
      </c>
      <c r="J95" s="1"/>
    </row>
    <row r="96" customFormat="false" ht="21.75" hidden="false" customHeight="true" outlineLevel="0" collapsed="false">
      <c r="A96" s="1"/>
      <c r="B96" s="38"/>
      <c r="C96" s="31"/>
      <c r="D96" s="35" t="str">
        <f aca="false">IF(C96="","",IFERROR(INDEX(Products!$C$7:$C$104,MATCH(C96,Products!$B$7:$B$104,0)),"Unknown SKU"))</f>
        <v/>
      </c>
      <c r="E96" s="31"/>
      <c r="F96" s="31"/>
      <c r="G96" s="32"/>
      <c r="H96" s="33" t="str">
        <f aca="false">IF(C96="","",IF(G96="",IFERROR(INDEX(Products!$G$7:$G$104,MATCH(C96,Products!$B$7:$B$104,0)),0),G96))</f>
        <v/>
      </c>
      <c r="I96" s="33" t="str">
        <f aca="false">IF(C96="","",E96*H96)</f>
        <v/>
      </c>
      <c r="J96" s="1"/>
    </row>
    <row r="97" customFormat="false" ht="21.75" hidden="false" customHeight="true" outlineLevel="0" collapsed="false">
      <c r="A97" s="1"/>
      <c r="B97" s="38"/>
      <c r="C97" s="31"/>
      <c r="D97" s="35" t="str">
        <f aca="false">IF(C97="","",IFERROR(INDEX(Products!$C$7:$C$104,MATCH(C97,Products!$B$7:$B$104,0)),"Unknown SKU"))</f>
        <v/>
      </c>
      <c r="E97" s="31"/>
      <c r="F97" s="31"/>
      <c r="G97" s="32"/>
      <c r="H97" s="33" t="str">
        <f aca="false">IF(C97="","",IF(G97="",IFERROR(INDEX(Products!$G$7:$G$104,MATCH(C97,Products!$B$7:$B$104,0)),0),G97))</f>
        <v/>
      </c>
      <c r="I97" s="33" t="str">
        <f aca="false">IF(C97="","",E97*H97)</f>
        <v/>
      </c>
      <c r="J97" s="1"/>
    </row>
    <row r="98" customFormat="false" ht="21.75" hidden="false" customHeight="true" outlineLevel="0" collapsed="false">
      <c r="A98" s="1"/>
      <c r="B98" s="38"/>
      <c r="C98" s="31"/>
      <c r="D98" s="35" t="str">
        <f aca="false">IF(C98="","",IFERROR(INDEX(Products!$C$7:$C$104,MATCH(C98,Products!$B$7:$B$104,0)),"Unknown SKU"))</f>
        <v/>
      </c>
      <c r="E98" s="31"/>
      <c r="F98" s="31"/>
      <c r="G98" s="32"/>
      <c r="H98" s="33" t="str">
        <f aca="false">IF(C98="","",IF(G98="",IFERROR(INDEX(Products!$G$7:$G$104,MATCH(C98,Products!$B$7:$B$104,0)),0),G98))</f>
        <v/>
      </c>
      <c r="I98" s="33" t="str">
        <f aca="false">IF(C98="","",E98*H98)</f>
        <v/>
      </c>
      <c r="J98" s="1"/>
    </row>
    <row r="99" customFormat="false" ht="21.75" hidden="false" customHeight="true" outlineLevel="0" collapsed="false">
      <c r="A99" s="1"/>
      <c r="B99" s="38"/>
      <c r="C99" s="31"/>
      <c r="D99" s="35" t="str">
        <f aca="false">IF(C99="","",IFERROR(INDEX(Products!$C$7:$C$104,MATCH(C99,Products!$B$7:$B$104,0)),"Unknown SKU"))</f>
        <v/>
      </c>
      <c r="E99" s="31"/>
      <c r="F99" s="31"/>
      <c r="G99" s="32"/>
      <c r="H99" s="33" t="str">
        <f aca="false">IF(C99="","",IF(G99="",IFERROR(INDEX(Products!$G$7:$G$104,MATCH(C99,Products!$B$7:$B$104,0)),0),G99))</f>
        <v/>
      </c>
      <c r="I99" s="33" t="str">
        <f aca="false">IF(C99="","",E99*H99)</f>
        <v/>
      </c>
      <c r="J99" s="1"/>
    </row>
    <row r="100" customFormat="false" ht="21.75" hidden="false" customHeight="true" outlineLevel="0" collapsed="false">
      <c r="A100" s="1"/>
      <c r="B100" s="38"/>
      <c r="C100" s="31"/>
      <c r="D100" s="35" t="str">
        <f aca="false">IF(C100="","",IFERROR(INDEX(Products!$C$7:$C$104,MATCH(C100,Products!$B$7:$B$104,0)),"Unknown SKU"))</f>
        <v/>
      </c>
      <c r="E100" s="31"/>
      <c r="F100" s="31"/>
      <c r="G100" s="32"/>
      <c r="H100" s="33" t="str">
        <f aca="false">IF(C100="","",IF(G100="",IFERROR(INDEX(Products!$G$7:$G$104,MATCH(C100,Products!$B$7:$B$104,0)),0),G100))</f>
        <v/>
      </c>
      <c r="I100" s="33" t="str">
        <f aca="false">IF(C100="","",E100*H100)</f>
        <v/>
      </c>
      <c r="J100" s="1"/>
    </row>
    <row r="101" customFormat="false" ht="21.75" hidden="false" customHeight="true" outlineLevel="0" collapsed="false">
      <c r="A101" s="1"/>
      <c r="B101" s="38"/>
      <c r="C101" s="31"/>
      <c r="D101" s="35" t="str">
        <f aca="false">IF(C101="","",IFERROR(INDEX(Products!$C$7:$C$104,MATCH(C101,Products!$B$7:$B$104,0)),"Unknown SKU"))</f>
        <v/>
      </c>
      <c r="E101" s="31"/>
      <c r="F101" s="31"/>
      <c r="G101" s="32"/>
      <c r="H101" s="33" t="str">
        <f aca="false">IF(C101="","",IF(G101="",IFERROR(INDEX(Products!$G$7:$G$104,MATCH(C101,Products!$B$7:$B$104,0)),0),G101))</f>
        <v/>
      </c>
      <c r="I101" s="33" t="str">
        <f aca="false">IF(C101="","",E101*H101)</f>
        <v/>
      </c>
      <c r="J101" s="1"/>
    </row>
    <row r="102" customFormat="false" ht="21.75" hidden="false" customHeight="true" outlineLevel="0" collapsed="false">
      <c r="A102" s="1"/>
      <c r="B102" s="38"/>
      <c r="C102" s="31"/>
      <c r="D102" s="35" t="str">
        <f aca="false">IF(C102="","",IFERROR(INDEX(Products!$C$7:$C$104,MATCH(C102,Products!$B$7:$B$104,0)),"Unknown SKU"))</f>
        <v/>
      </c>
      <c r="E102" s="31"/>
      <c r="F102" s="31"/>
      <c r="G102" s="32"/>
      <c r="H102" s="33" t="str">
        <f aca="false">IF(C102="","",IF(G102="",IFERROR(INDEX(Products!$G$7:$G$104,MATCH(C102,Products!$B$7:$B$104,0)),0),G102))</f>
        <v/>
      </c>
      <c r="I102" s="33" t="str">
        <f aca="false">IF(C102="","",E102*H102)</f>
        <v/>
      </c>
      <c r="J102" s="1"/>
    </row>
    <row r="103" customFormat="false" ht="21.75" hidden="false" customHeight="true" outlineLevel="0" collapsed="false">
      <c r="A103" s="1"/>
      <c r="B103" s="38"/>
      <c r="C103" s="31"/>
      <c r="D103" s="35" t="str">
        <f aca="false">IF(C103="","",IFERROR(INDEX(Products!$C$7:$C$104,MATCH(C103,Products!$B$7:$B$104,0)),"Unknown SKU"))</f>
        <v/>
      </c>
      <c r="E103" s="31"/>
      <c r="F103" s="31"/>
      <c r="G103" s="32"/>
      <c r="H103" s="33" t="str">
        <f aca="false">IF(C103="","",IF(G103="",IFERROR(INDEX(Products!$G$7:$G$104,MATCH(C103,Products!$B$7:$B$104,0)),0),G103))</f>
        <v/>
      </c>
      <c r="I103" s="33" t="str">
        <f aca="false">IF(C103="","",E103*H103)</f>
        <v/>
      </c>
      <c r="J103" s="1"/>
    </row>
    <row r="104" customFormat="false" ht="21.75" hidden="false" customHeight="true" outlineLevel="0" collapsed="false">
      <c r="A104" s="1"/>
      <c r="B104" s="38"/>
      <c r="C104" s="31"/>
      <c r="D104" s="35" t="str">
        <f aca="false">IF(C104="","",IFERROR(INDEX(Products!$C$7:$C$104,MATCH(C104,Products!$B$7:$B$104,0)),"Unknown SKU"))</f>
        <v/>
      </c>
      <c r="E104" s="31"/>
      <c r="F104" s="31"/>
      <c r="G104" s="32"/>
      <c r="H104" s="33" t="str">
        <f aca="false">IF(C104="","",IF(G104="",IFERROR(INDEX(Products!$G$7:$G$104,MATCH(C104,Products!$B$7:$B$104,0)),0),G104))</f>
        <v/>
      </c>
      <c r="I104" s="33" t="str">
        <f aca="false">IF(C104="","",E104*H104)</f>
        <v/>
      </c>
      <c r="J104" s="1"/>
    </row>
    <row r="105" customFormat="false" ht="21.75" hidden="false" customHeight="true" outlineLevel="0" collapsed="false">
      <c r="A105" s="1"/>
      <c r="B105" s="38"/>
      <c r="C105" s="31"/>
      <c r="D105" s="35" t="str">
        <f aca="false">IF(C105="","",IFERROR(INDEX(Products!$C$7:$C$104,MATCH(C105,Products!$B$7:$B$104,0)),"Unknown SKU"))</f>
        <v/>
      </c>
      <c r="E105" s="31"/>
      <c r="F105" s="31"/>
      <c r="G105" s="32"/>
      <c r="H105" s="33" t="str">
        <f aca="false">IF(C105="","",IF(G105="",IFERROR(INDEX(Products!$G$7:$G$104,MATCH(C105,Products!$B$7:$B$104,0)),0),G105))</f>
        <v/>
      </c>
      <c r="I105" s="33" t="str">
        <f aca="false">IF(C105="","",E105*H105)</f>
        <v/>
      </c>
      <c r="J105" s="1"/>
    </row>
    <row r="106" customFormat="false" ht="21.75" hidden="false" customHeight="true" outlineLevel="0" collapsed="false">
      <c r="A106" s="1"/>
      <c r="B106" s="38"/>
      <c r="C106" s="31"/>
      <c r="D106" s="35" t="str">
        <f aca="false">IF(C106="","",IFERROR(INDEX(Products!$C$7:$C$104,MATCH(C106,Products!$B$7:$B$104,0)),"Unknown SKU"))</f>
        <v/>
      </c>
      <c r="E106" s="31"/>
      <c r="F106" s="31"/>
      <c r="G106" s="32"/>
      <c r="H106" s="33" t="str">
        <f aca="false">IF(C106="","",IF(G106="",IFERROR(INDEX(Products!$G$7:$G$104,MATCH(C106,Products!$B$7:$B$104,0)),0),G106))</f>
        <v/>
      </c>
      <c r="I106" s="33" t="str">
        <f aca="false">IF(C106="","",E106*H106)</f>
        <v/>
      </c>
      <c r="J106" s="1"/>
    </row>
    <row r="107" customFormat="false" ht="21.75" hidden="false" customHeight="true" outlineLevel="0" collapsed="false">
      <c r="A107" s="1"/>
      <c r="B107" s="38"/>
      <c r="C107" s="31"/>
      <c r="D107" s="35" t="str">
        <f aca="false">IF(C107="","",IFERROR(INDEX(Products!$C$7:$C$104,MATCH(C107,Products!$B$7:$B$104,0)),"Unknown SKU"))</f>
        <v/>
      </c>
      <c r="E107" s="31"/>
      <c r="F107" s="31"/>
      <c r="G107" s="32"/>
      <c r="H107" s="33" t="str">
        <f aca="false">IF(C107="","",IF(G107="",IFERROR(INDEX(Products!$G$7:$G$104,MATCH(C107,Products!$B$7:$B$104,0)),0),G107))</f>
        <v/>
      </c>
      <c r="I107" s="33" t="str">
        <f aca="false">IF(C107="","",E107*H107)</f>
        <v/>
      </c>
      <c r="J107" s="1"/>
    </row>
    <row r="108" customFormat="false" ht="21.75" hidden="false" customHeight="true" outlineLevel="0" collapsed="false">
      <c r="A108" s="1"/>
      <c r="B108" s="38"/>
      <c r="C108" s="31"/>
      <c r="D108" s="35" t="str">
        <f aca="false">IF(C108="","",IFERROR(INDEX(Products!$C$7:$C$104,MATCH(C108,Products!$B$7:$B$104,0)),"Unknown SKU"))</f>
        <v/>
      </c>
      <c r="E108" s="31"/>
      <c r="F108" s="31"/>
      <c r="G108" s="32"/>
      <c r="H108" s="33" t="str">
        <f aca="false">IF(C108="","",IF(G108="",IFERROR(INDEX(Products!$G$7:$G$104,MATCH(C108,Products!$B$7:$B$104,0)),0),G108))</f>
        <v/>
      </c>
      <c r="I108" s="33" t="str">
        <f aca="false">IF(C108="","",E108*H108)</f>
        <v/>
      </c>
      <c r="J108" s="1"/>
    </row>
    <row r="109" customFormat="false" ht="21.75" hidden="false" customHeight="true" outlineLevel="0" collapsed="false">
      <c r="A109" s="1"/>
      <c r="B109" s="38"/>
      <c r="C109" s="31"/>
      <c r="D109" s="35" t="str">
        <f aca="false">IF(C109="","",IFERROR(INDEX(Products!$C$7:$C$104,MATCH(C109,Products!$B$7:$B$104,0)),"Unknown SKU"))</f>
        <v/>
      </c>
      <c r="E109" s="31"/>
      <c r="F109" s="31"/>
      <c r="G109" s="32"/>
      <c r="H109" s="33" t="str">
        <f aca="false">IF(C109="","",IF(G109="",IFERROR(INDEX(Products!$G$7:$G$104,MATCH(C109,Products!$B$7:$B$104,0)),0),G109))</f>
        <v/>
      </c>
      <c r="I109" s="33" t="str">
        <f aca="false">IF(C109="","",E109*H109)</f>
        <v/>
      </c>
      <c r="J109" s="1"/>
    </row>
    <row r="110" customFormat="false" ht="21.75" hidden="false" customHeight="true" outlineLevel="0" collapsed="false">
      <c r="A110" s="1"/>
      <c r="B110" s="38"/>
      <c r="C110" s="31"/>
      <c r="D110" s="35" t="str">
        <f aca="false">IF(C110="","",IFERROR(INDEX(Products!$C$7:$C$104,MATCH(C110,Products!$B$7:$B$104,0)),"Unknown SKU"))</f>
        <v/>
      </c>
      <c r="E110" s="31"/>
      <c r="F110" s="31"/>
      <c r="G110" s="32"/>
      <c r="H110" s="33" t="str">
        <f aca="false">IF(C110="","",IF(G110="",IFERROR(INDEX(Products!$G$7:$G$104,MATCH(C110,Products!$B$7:$B$104,0)),0),G110))</f>
        <v/>
      </c>
      <c r="I110" s="33" t="str">
        <f aca="false">IF(C110="","",E110*H110)</f>
        <v/>
      </c>
      <c r="J110" s="1"/>
    </row>
    <row r="111" customFormat="false" ht="21.75" hidden="false" customHeight="true" outlineLevel="0" collapsed="false">
      <c r="A111" s="1"/>
      <c r="B111" s="38"/>
      <c r="C111" s="31"/>
      <c r="D111" s="35" t="str">
        <f aca="false">IF(C111="","",IFERROR(INDEX(Products!$C$7:$C$104,MATCH(C111,Products!$B$7:$B$104,0)),"Unknown SKU"))</f>
        <v/>
      </c>
      <c r="E111" s="31"/>
      <c r="F111" s="31"/>
      <c r="G111" s="32"/>
      <c r="H111" s="33" t="str">
        <f aca="false">IF(C111="","",IF(G111="",IFERROR(INDEX(Products!$G$7:$G$104,MATCH(C111,Products!$B$7:$B$104,0)),0),G111))</f>
        <v/>
      </c>
      <c r="I111" s="33" t="str">
        <f aca="false">IF(C111="","",E111*H111)</f>
        <v/>
      </c>
      <c r="J111" s="1"/>
    </row>
    <row r="112" customFormat="false" ht="21.75" hidden="false" customHeight="true" outlineLevel="0" collapsed="false">
      <c r="A112" s="1"/>
      <c r="B112" s="38"/>
      <c r="C112" s="31"/>
      <c r="D112" s="35" t="str">
        <f aca="false">IF(C112="","",IFERROR(INDEX(Products!$C$7:$C$104,MATCH(C112,Products!$B$7:$B$104,0)),"Unknown SKU"))</f>
        <v/>
      </c>
      <c r="E112" s="31"/>
      <c r="F112" s="31"/>
      <c r="G112" s="32"/>
      <c r="H112" s="33" t="str">
        <f aca="false">IF(C112="","",IF(G112="",IFERROR(INDEX(Products!$G$7:$G$104,MATCH(C112,Products!$B$7:$B$104,0)),0),G112))</f>
        <v/>
      </c>
      <c r="I112" s="33" t="str">
        <f aca="false">IF(C112="","",E112*H112)</f>
        <v/>
      </c>
      <c r="J112" s="1"/>
    </row>
    <row r="113" customFormat="false" ht="21.75" hidden="false" customHeight="true" outlineLevel="0" collapsed="false">
      <c r="A113" s="1"/>
      <c r="B113" s="38"/>
      <c r="C113" s="31"/>
      <c r="D113" s="35" t="str">
        <f aca="false">IF(C113="","",IFERROR(INDEX(Products!$C$7:$C$104,MATCH(C113,Products!$B$7:$B$104,0)),"Unknown SKU"))</f>
        <v/>
      </c>
      <c r="E113" s="31"/>
      <c r="F113" s="31"/>
      <c r="G113" s="32"/>
      <c r="H113" s="33" t="str">
        <f aca="false">IF(C113="","",IF(G113="",IFERROR(INDEX(Products!$G$7:$G$104,MATCH(C113,Products!$B$7:$B$104,0)),0),G113))</f>
        <v/>
      </c>
      <c r="I113" s="33" t="str">
        <f aca="false">IF(C113="","",E113*H113)</f>
        <v/>
      </c>
      <c r="J113" s="1"/>
    </row>
    <row r="114" customFormat="false" ht="21.75" hidden="false" customHeight="true" outlineLevel="0" collapsed="false">
      <c r="A114" s="1"/>
      <c r="B114" s="38"/>
      <c r="C114" s="31"/>
      <c r="D114" s="35" t="str">
        <f aca="false">IF(C114="","",IFERROR(INDEX(Products!$C$7:$C$104,MATCH(C114,Products!$B$7:$B$104,0)),"Unknown SKU"))</f>
        <v/>
      </c>
      <c r="E114" s="31"/>
      <c r="F114" s="31"/>
      <c r="G114" s="32"/>
      <c r="H114" s="33" t="str">
        <f aca="false">IF(C114="","",IF(G114="",IFERROR(INDEX(Products!$G$7:$G$104,MATCH(C114,Products!$B$7:$B$104,0)),0),G114))</f>
        <v/>
      </c>
      <c r="I114" s="33" t="str">
        <f aca="false">IF(C114="","",E114*H114)</f>
        <v/>
      </c>
      <c r="J114" s="1"/>
    </row>
    <row r="115" customFormat="false" ht="21.75" hidden="false" customHeight="true" outlineLevel="0" collapsed="false">
      <c r="A115" s="1"/>
      <c r="B115" s="38"/>
      <c r="C115" s="31"/>
      <c r="D115" s="35" t="str">
        <f aca="false">IF(C115="","",IFERROR(INDEX(Products!$C$7:$C$104,MATCH(C115,Products!$B$7:$B$104,0)),"Unknown SKU"))</f>
        <v/>
      </c>
      <c r="E115" s="31"/>
      <c r="F115" s="31"/>
      <c r="G115" s="32"/>
      <c r="H115" s="33" t="str">
        <f aca="false">IF(C115="","",IF(G115="",IFERROR(INDEX(Products!$G$7:$G$104,MATCH(C115,Products!$B$7:$B$104,0)),0),G115))</f>
        <v/>
      </c>
      <c r="I115" s="33" t="str">
        <f aca="false">IF(C115="","",E115*H115)</f>
        <v/>
      </c>
      <c r="J115" s="1"/>
    </row>
    <row r="116" customFormat="false" ht="21.75" hidden="false" customHeight="true" outlineLevel="0" collapsed="false">
      <c r="A116" s="1"/>
      <c r="B116" s="38"/>
      <c r="C116" s="31"/>
      <c r="D116" s="35" t="str">
        <f aca="false">IF(C116="","",IFERROR(INDEX(Products!$C$7:$C$104,MATCH(C116,Products!$B$7:$B$104,0)),"Unknown SKU"))</f>
        <v/>
      </c>
      <c r="E116" s="31"/>
      <c r="F116" s="31"/>
      <c r="G116" s="32"/>
      <c r="H116" s="33" t="str">
        <f aca="false">IF(C116="","",IF(G116="",IFERROR(INDEX(Products!$G$7:$G$104,MATCH(C116,Products!$B$7:$B$104,0)),0),G116))</f>
        <v/>
      </c>
      <c r="I116" s="33" t="str">
        <f aca="false">IF(C116="","",E116*H116)</f>
        <v/>
      </c>
      <c r="J116" s="1"/>
    </row>
    <row r="117" customFormat="false" ht="21.75" hidden="false" customHeight="true" outlineLevel="0" collapsed="false">
      <c r="A117" s="1"/>
      <c r="B117" s="38"/>
      <c r="C117" s="31"/>
      <c r="D117" s="35" t="str">
        <f aca="false">IF(C117="","",IFERROR(INDEX(Products!$C$7:$C$104,MATCH(C117,Products!$B$7:$B$104,0)),"Unknown SKU"))</f>
        <v/>
      </c>
      <c r="E117" s="31"/>
      <c r="F117" s="31"/>
      <c r="G117" s="32"/>
      <c r="H117" s="33" t="str">
        <f aca="false">IF(C117="","",IF(G117="",IFERROR(INDEX(Products!$G$7:$G$104,MATCH(C117,Products!$B$7:$B$104,0)),0),G117))</f>
        <v/>
      </c>
      <c r="I117" s="33" t="str">
        <f aca="false">IF(C117="","",E117*H117)</f>
        <v/>
      </c>
      <c r="J117" s="1"/>
    </row>
    <row r="118" customFormat="false" ht="21.75" hidden="false" customHeight="true" outlineLevel="0" collapsed="false">
      <c r="A118" s="1"/>
      <c r="B118" s="38"/>
      <c r="C118" s="31"/>
      <c r="D118" s="35" t="str">
        <f aca="false">IF(C118="","",IFERROR(INDEX(Products!$C$7:$C$104,MATCH(C118,Products!$B$7:$B$104,0)),"Unknown SKU"))</f>
        <v/>
      </c>
      <c r="E118" s="31"/>
      <c r="F118" s="31"/>
      <c r="G118" s="32"/>
      <c r="H118" s="33" t="str">
        <f aca="false">IF(C118="","",IF(G118="",IFERROR(INDEX(Products!$G$7:$G$104,MATCH(C118,Products!$B$7:$B$104,0)),0),G118))</f>
        <v/>
      </c>
      <c r="I118" s="33" t="str">
        <f aca="false">IF(C118="","",E118*H118)</f>
        <v/>
      </c>
      <c r="J118" s="1"/>
    </row>
    <row r="119" customFormat="false" ht="21.75" hidden="false" customHeight="true" outlineLevel="0" collapsed="false">
      <c r="A119" s="1"/>
      <c r="B119" s="38"/>
      <c r="C119" s="31"/>
      <c r="D119" s="35" t="str">
        <f aca="false">IF(C119="","",IFERROR(INDEX(Products!$C$7:$C$104,MATCH(C119,Products!$B$7:$B$104,0)),"Unknown SKU"))</f>
        <v/>
      </c>
      <c r="E119" s="31"/>
      <c r="F119" s="31"/>
      <c r="G119" s="32"/>
      <c r="H119" s="33" t="str">
        <f aca="false">IF(C119="","",IF(G119="",IFERROR(INDEX(Products!$G$7:$G$104,MATCH(C119,Products!$B$7:$B$104,0)),0),G119))</f>
        <v/>
      </c>
      <c r="I119" s="33" t="str">
        <f aca="false">IF(C119="","",E119*H119)</f>
        <v/>
      </c>
      <c r="J119" s="1"/>
    </row>
    <row r="120" customFormat="false" ht="21.75" hidden="false" customHeight="true" outlineLevel="0" collapsed="false">
      <c r="A120" s="1"/>
      <c r="B120" s="38"/>
      <c r="C120" s="31"/>
      <c r="D120" s="35" t="str">
        <f aca="false">IF(C120="","",IFERROR(INDEX(Products!$C$7:$C$104,MATCH(C120,Products!$B$7:$B$104,0)),"Unknown SKU"))</f>
        <v/>
      </c>
      <c r="E120" s="31"/>
      <c r="F120" s="31"/>
      <c r="G120" s="32"/>
      <c r="H120" s="33" t="str">
        <f aca="false">IF(C120="","",IF(G120="",IFERROR(INDEX(Products!$G$7:$G$104,MATCH(C120,Products!$B$7:$B$104,0)),0),G120))</f>
        <v/>
      </c>
      <c r="I120" s="33" t="str">
        <f aca="false">IF(C120="","",E120*H120)</f>
        <v/>
      </c>
      <c r="J120" s="1"/>
    </row>
    <row r="121" customFormat="false" ht="21.75" hidden="false" customHeight="true" outlineLevel="0" collapsed="false">
      <c r="A121" s="1"/>
      <c r="B121" s="38"/>
      <c r="C121" s="31"/>
      <c r="D121" s="35" t="str">
        <f aca="false">IF(C121="","",IFERROR(INDEX(Products!$C$7:$C$104,MATCH(C121,Products!$B$7:$B$104,0)),"Unknown SKU"))</f>
        <v/>
      </c>
      <c r="E121" s="31"/>
      <c r="F121" s="31"/>
      <c r="G121" s="32"/>
      <c r="H121" s="33" t="str">
        <f aca="false">IF(C121="","",IF(G121="",IFERROR(INDEX(Products!$G$7:$G$104,MATCH(C121,Products!$B$7:$B$104,0)),0),G121))</f>
        <v/>
      </c>
      <c r="I121" s="33" t="str">
        <f aca="false">IF(C121="","",E121*H121)</f>
        <v/>
      </c>
      <c r="J121" s="1"/>
    </row>
    <row r="122" customFormat="false" ht="21.75" hidden="false" customHeight="true" outlineLevel="0" collapsed="false">
      <c r="A122" s="1"/>
      <c r="B122" s="38"/>
      <c r="C122" s="31"/>
      <c r="D122" s="35" t="str">
        <f aca="false">IF(C122="","",IFERROR(INDEX(Products!$C$7:$C$104,MATCH(C122,Products!$B$7:$B$104,0)),"Unknown SKU"))</f>
        <v/>
      </c>
      <c r="E122" s="31"/>
      <c r="F122" s="31"/>
      <c r="G122" s="32"/>
      <c r="H122" s="33" t="str">
        <f aca="false">IF(C122="","",IF(G122="",IFERROR(INDEX(Products!$G$7:$G$104,MATCH(C122,Products!$B$7:$B$104,0)),0),G122))</f>
        <v/>
      </c>
      <c r="I122" s="33" t="str">
        <f aca="false">IF(C122="","",E122*H122)</f>
        <v/>
      </c>
      <c r="J122" s="1"/>
    </row>
    <row r="123" customFormat="false" ht="21.75" hidden="false" customHeight="true" outlineLevel="0" collapsed="false">
      <c r="A123" s="1"/>
      <c r="B123" s="38"/>
      <c r="C123" s="31"/>
      <c r="D123" s="35" t="str">
        <f aca="false">IF(C123="","",IFERROR(INDEX(Products!$C$7:$C$104,MATCH(C123,Products!$B$7:$B$104,0)),"Unknown SKU"))</f>
        <v/>
      </c>
      <c r="E123" s="31"/>
      <c r="F123" s="31"/>
      <c r="G123" s="32"/>
      <c r="H123" s="33" t="str">
        <f aca="false">IF(C123="","",IF(G123="",IFERROR(INDEX(Products!$G$7:$G$104,MATCH(C123,Products!$B$7:$B$104,0)),0),G123))</f>
        <v/>
      </c>
      <c r="I123" s="33" t="str">
        <f aca="false">IF(C123="","",E123*H123)</f>
        <v/>
      </c>
      <c r="J123" s="1"/>
    </row>
    <row r="124" customFormat="false" ht="21.75" hidden="false" customHeight="true" outlineLevel="0" collapsed="false">
      <c r="A124" s="1"/>
      <c r="B124" s="38"/>
      <c r="C124" s="31"/>
      <c r="D124" s="35" t="str">
        <f aca="false">IF(C124="","",IFERROR(INDEX(Products!$C$7:$C$104,MATCH(C124,Products!$B$7:$B$104,0)),"Unknown SKU"))</f>
        <v/>
      </c>
      <c r="E124" s="31"/>
      <c r="F124" s="31"/>
      <c r="G124" s="32"/>
      <c r="H124" s="33" t="str">
        <f aca="false">IF(C124="","",IF(G124="",IFERROR(INDEX(Products!$G$7:$G$104,MATCH(C124,Products!$B$7:$B$104,0)),0),G124))</f>
        <v/>
      </c>
      <c r="I124" s="33" t="str">
        <f aca="false">IF(C124="","",E124*H124)</f>
        <v/>
      </c>
      <c r="J124" s="1"/>
    </row>
    <row r="125" customFormat="false" ht="21.75" hidden="false" customHeight="true" outlineLevel="0" collapsed="false">
      <c r="A125" s="1"/>
      <c r="B125" s="38"/>
      <c r="C125" s="31"/>
      <c r="D125" s="35" t="str">
        <f aca="false">IF(C125="","",IFERROR(INDEX(Products!$C$7:$C$104,MATCH(C125,Products!$B$7:$B$104,0)),"Unknown SKU"))</f>
        <v/>
      </c>
      <c r="E125" s="31"/>
      <c r="F125" s="31"/>
      <c r="G125" s="32"/>
      <c r="H125" s="33" t="str">
        <f aca="false">IF(C125="","",IF(G125="",IFERROR(INDEX(Products!$G$7:$G$104,MATCH(C125,Products!$B$7:$B$104,0)),0),G125))</f>
        <v/>
      </c>
      <c r="I125" s="33" t="str">
        <f aca="false">IF(C125="","",E125*H125)</f>
        <v/>
      </c>
      <c r="J125" s="1"/>
    </row>
    <row r="126" customFormat="false" ht="21.75" hidden="false" customHeight="true" outlineLevel="0" collapsed="false">
      <c r="A126" s="1"/>
      <c r="B126" s="38"/>
      <c r="C126" s="31"/>
      <c r="D126" s="35" t="str">
        <f aca="false">IF(C126="","",IFERROR(INDEX(Products!$C$7:$C$104,MATCH(C126,Products!$B$7:$B$104,0)),"Unknown SKU"))</f>
        <v/>
      </c>
      <c r="E126" s="31"/>
      <c r="F126" s="31"/>
      <c r="G126" s="32"/>
      <c r="H126" s="33" t="str">
        <f aca="false">IF(C126="","",IF(G126="",IFERROR(INDEX(Products!$G$7:$G$104,MATCH(C126,Products!$B$7:$B$104,0)),0),G126))</f>
        <v/>
      </c>
      <c r="I126" s="33" t="str">
        <f aca="false">IF(C126="","",E126*H126)</f>
        <v/>
      </c>
      <c r="J126" s="1"/>
    </row>
    <row r="127" customFormat="false" ht="21.75" hidden="false" customHeight="true" outlineLevel="0" collapsed="false">
      <c r="A127" s="1"/>
      <c r="B127" s="38"/>
      <c r="C127" s="31"/>
      <c r="D127" s="35" t="str">
        <f aca="false">IF(C127="","",IFERROR(INDEX(Products!$C$7:$C$104,MATCH(C127,Products!$B$7:$B$104,0)),"Unknown SKU"))</f>
        <v/>
      </c>
      <c r="E127" s="31"/>
      <c r="F127" s="31"/>
      <c r="G127" s="32"/>
      <c r="H127" s="33" t="str">
        <f aca="false">IF(C127="","",IF(G127="",IFERROR(INDEX(Products!$G$7:$G$104,MATCH(C127,Products!$B$7:$B$104,0)),0),G127))</f>
        <v/>
      </c>
      <c r="I127" s="33" t="str">
        <f aca="false">IF(C127="","",E127*H127)</f>
        <v/>
      </c>
      <c r="J127" s="1"/>
    </row>
    <row r="128" customFormat="false" ht="21.75" hidden="false" customHeight="true" outlineLevel="0" collapsed="false">
      <c r="A128" s="1"/>
      <c r="B128" s="38"/>
      <c r="C128" s="31"/>
      <c r="D128" s="35" t="str">
        <f aca="false">IF(C128="","",IFERROR(INDEX(Products!$C$7:$C$104,MATCH(C128,Products!$B$7:$B$104,0)),"Unknown SKU"))</f>
        <v/>
      </c>
      <c r="E128" s="31"/>
      <c r="F128" s="31"/>
      <c r="G128" s="32"/>
      <c r="H128" s="33" t="str">
        <f aca="false">IF(C128="","",IF(G128="",IFERROR(INDEX(Products!$G$7:$G$104,MATCH(C128,Products!$B$7:$B$104,0)),0),G128))</f>
        <v/>
      </c>
      <c r="I128" s="33" t="str">
        <f aca="false">IF(C128="","",E128*H128)</f>
        <v/>
      </c>
      <c r="J128" s="1"/>
    </row>
    <row r="129" customFormat="false" ht="21.75" hidden="false" customHeight="true" outlineLevel="0" collapsed="false">
      <c r="A129" s="1"/>
      <c r="B129" s="38"/>
      <c r="C129" s="31"/>
      <c r="D129" s="35" t="str">
        <f aca="false">IF(C129="","",IFERROR(INDEX(Products!$C$7:$C$104,MATCH(C129,Products!$B$7:$B$104,0)),"Unknown SKU"))</f>
        <v/>
      </c>
      <c r="E129" s="31"/>
      <c r="F129" s="31"/>
      <c r="G129" s="32"/>
      <c r="H129" s="33" t="str">
        <f aca="false">IF(C129="","",IF(G129="",IFERROR(INDEX(Products!$G$7:$G$104,MATCH(C129,Products!$B$7:$B$104,0)),0),G129))</f>
        <v/>
      </c>
      <c r="I129" s="33" t="str">
        <f aca="false">IF(C129="","",E129*H129)</f>
        <v/>
      </c>
      <c r="J129" s="1"/>
    </row>
    <row r="130" customFormat="false" ht="21.75" hidden="false" customHeight="true" outlineLevel="0" collapsed="false">
      <c r="A130" s="1"/>
      <c r="B130" s="38"/>
      <c r="C130" s="31"/>
      <c r="D130" s="35" t="str">
        <f aca="false">IF(C130="","",IFERROR(INDEX(Products!$C$7:$C$104,MATCH(C130,Products!$B$7:$B$104,0)),"Unknown SKU"))</f>
        <v/>
      </c>
      <c r="E130" s="31"/>
      <c r="F130" s="31"/>
      <c r="G130" s="32"/>
      <c r="H130" s="33" t="str">
        <f aca="false">IF(C130="","",IF(G130="",IFERROR(INDEX(Products!$G$7:$G$104,MATCH(C130,Products!$B$7:$B$104,0)),0),G130))</f>
        <v/>
      </c>
      <c r="I130" s="33" t="str">
        <f aca="false">IF(C130="","",E130*H130)</f>
        <v/>
      </c>
      <c r="J130" s="1"/>
    </row>
    <row r="131" customFormat="false" ht="21.75" hidden="false" customHeight="true" outlineLevel="0" collapsed="false">
      <c r="A131" s="1"/>
      <c r="B131" s="38"/>
      <c r="C131" s="31"/>
      <c r="D131" s="35" t="str">
        <f aca="false">IF(C131="","",IFERROR(INDEX(Products!$C$7:$C$104,MATCH(C131,Products!$B$7:$B$104,0)),"Unknown SKU"))</f>
        <v/>
      </c>
      <c r="E131" s="31"/>
      <c r="F131" s="31"/>
      <c r="G131" s="32"/>
      <c r="H131" s="33" t="str">
        <f aca="false">IF(C131="","",IF(G131="",IFERROR(INDEX(Products!$G$7:$G$104,MATCH(C131,Products!$B$7:$B$104,0)),0),G131))</f>
        <v/>
      </c>
      <c r="I131" s="33" t="str">
        <f aca="false">IF(C131="","",E131*H131)</f>
        <v/>
      </c>
      <c r="J131" s="1"/>
    </row>
    <row r="132" customFormat="false" ht="21.75" hidden="false" customHeight="true" outlineLevel="0" collapsed="false">
      <c r="A132" s="1"/>
      <c r="B132" s="38"/>
      <c r="C132" s="31"/>
      <c r="D132" s="35" t="str">
        <f aca="false">IF(C132="","",IFERROR(INDEX(Products!$C$7:$C$104,MATCH(C132,Products!$B$7:$B$104,0)),"Unknown SKU"))</f>
        <v/>
      </c>
      <c r="E132" s="31"/>
      <c r="F132" s="31"/>
      <c r="G132" s="32"/>
      <c r="H132" s="33" t="str">
        <f aca="false">IF(C132="","",IF(G132="",IFERROR(INDEX(Products!$G$7:$G$104,MATCH(C132,Products!$B$7:$B$104,0)),0),G132))</f>
        <v/>
      </c>
      <c r="I132" s="33" t="str">
        <f aca="false">IF(C132="","",E132*H132)</f>
        <v/>
      </c>
      <c r="J132" s="1"/>
    </row>
    <row r="133" customFormat="false" ht="21.75" hidden="false" customHeight="true" outlineLevel="0" collapsed="false">
      <c r="A133" s="1"/>
      <c r="B133" s="38"/>
      <c r="C133" s="31"/>
      <c r="D133" s="35" t="str">
        <f aca="false">IF(C133="","",IFERROR(INDEX(Products!$C$7:$C$104,MATCH(C133,Products!$B$7:$B$104,0)),"Unknown SKU"))</f>
        <v/>
      </c>
      <c r="E133" s="31"/>
      <c r="F133" s="31"/>
      <c r="G133" s="32"/>
      <c r="H133" s="33" t="str">
        <f aca="false">IF(C133="","",IF(G133="",IFERROR(INDEX(Products!$G$7:$G$104,MATCH(C133,Products!$B$7:$B$104,0)),0),G133))</f>
        <v/>
      </c>
      <c r="I133" s="33" t="str">
        <f aca="false">IF(C133="","",E133*H133)</f>
        <v/>
      </c>
      <c r="J133" s="1"/>
    </row>
    <row r="134" customFormat="false" ht="21.75" hidden="false" customHeight="true" outlineLevel="0" collapsed="false">
      <c r="A134" s="1"/>
      <c r="B134" s="38"/>
      <c r="C134" s="31"/>
      <c r="D134" s="35" t="str">
        <f aca="false">IF(C134="","",IFERROR(INDEX(Products!$C$7:$C$104,MATCH(C134,Products!$B$7:$B$104,0)),"Unknown SKU"))</f>
        <v/>
      </c>
      <c r="E134" s="31"/>
      <c r="F134" s="31"/>
      <c r="G134" s="32"/>
      <c r="H134" s="33" t="str">
        <f aca="false">IF(C134="","",IF(G134="",IFERROR(INDEX(Products!$G$7:$G$104,MATCH(C134,Products!$B$7:$B$104,0)),0),G134))</f>
        <v/>
      </c>
      <c r="I134" s="33" t="str">
        <f aca="false">IF(C134="","",E134*H134)</f>
        <v/>
      </c>
      <c r="J134" s="1"/>
    </row>
    <row r="135" customFormat="false" ht="21.75" hidden="false" customHeight="true" outlineLevel="0" collapsed="false">
      <c r="A135" s="1"/>
      <c r="B135" s="38"/>
      <c r="C135" s="31"/>
      <c r="D135" s="35" t="str">
        <f aca="false">IF(C135="","",IFERROR(INDEX(Products!$C$7:$C$104,MATCH(C135,Products!$B$7:$B$104,0)),"Unknown SKU"))</f>
        <v/>
      </c>
      <c r="E135" s="31"/>
      <c r="F135" s="31"/>
      <c r="G135" s="32"/>
      <c r="H135" s="33" t="str">
        <f aca="false">IF(C135="","",IF(G135="",IFERROR(INDEX(Products!$G$7:$G$104,MATCH(C135,Products!$B$7:$B$104,0)),0),G135))</f>
        <v/>
      </c>
      <c r="I135" s="33" t="str">
        <f aca="false">IF(C135="","",E135*H135)</f>
        <v/>
      </c>
      <c r="J135" s="1"/>
    </row>
    <row r="136" customFormat="false" ht="21.75" hidden="false" customHeight="true" outlineLevel="0" collapsed="false">
      <c r="A136" s="1"/>
      <c r="B136" s="38"/>
      <c r="C136" s="31"/>
      <c r="D136" s="35" t="str">
        <f aca="false">IF(C136="","",IFERROR(INDEX(Products!$C$7:$C$104,MATCH(C136,Products!$B$7:$B$104,0)),"Unknown SKU"))</f>
        <v/>
      </c>
      <c r="E136" s="31"/>
      <c r="F136" s="31"/>
      <c r="G136" s="32"/>
      <c r="H136" s="33" t="str">
        <f aca="false">IF(C136="","",IF(G136="",IFERROR(INDEX(Products!$G$7:$G$104,MATCH(C136,Products!$B$7:$B$104,0)),0),G136))</f>
        <v/>
      </c>
      <c r="I136" s="33" t="str">
        <f aca="false">IF(C136="","",E136*H136)</f>
        <v/>
      </c>
      <c r="J136" s="1"/>
    </row>
    <row r="137" customFormat="false" ht="21.75" hidden="false" customHeight="true" outlineLevel="0" collapsed="false">
      <c r="A137" s="1"/>
      <c r="B137" s="38"/>
      <c r="C137" s="31"/>
      <c r="D137" s="35" t="str">
        <f aca="false">IF(C137="","",IFERROR(INDEX(Products!$C$7:$C$104,MATCH(C137,Products!$B$7:$B$104,0)),"Unknown SKU"))</f>
        <v/>
      </c>
      <c r="E137" s="31"/>
      <c r="F137" s="31"/>
      <c r="G137" s="32"/>
      <c r="H137" s="33" t="str">
        <f aca="false">IF(C137="","",IF(G137="",IFERROR(INDEX(Products!$G$7:$G$104,MATCH(C137,Products!$B$7:$B$104,0)),0),G137))</f>
        <v/>
      </c>
      <c r="I137" s="33" t="str">
        <f aca="false">IF(C137="","",E137*H137)</f>
        <v/>
      </c>
      <c r="J137" s="1"/>
    </row>
    <row r="138" customFormat="false" ht="21.75" hidden="false" customHeight="true" outlineLevel="0" collapsed="false">
      <c r="A138" s="1"/>
      <c r="B138" s="38"/>
      <c r="C138" s="31"/>
      <c r="D138" s="35" t="str">
        <f aca="false">IF(C138="","",IFERROR(INDEX(Products!$C$7:$C$104,MATCH(C138,Products!$B$7:$B$104,0)),"Unknown SKU"))</f>
        <v/>
      </c>
      <c r="E138" s="31"/>
      <c r="F138" s="31"/>
      <c r="G138" s="32"/>
      <c r="H138" s="33" t="str">
        <f aca="false">IF(C138="","",IF(G138="",IFERROR(INDEX(Products!$G$7:$G$104,MATCH(C138,Products!$B$7:$B$104,0)),0),G138))</f>
        <v/>
      </c>
      <c r="I138" s="33" t="str">
        <f aca="false">IF(C138="","",E138*H138)</f>
        <v/>
      </c>
      <c r="J138" s="1"/>
    </row>
    <row r="139" customFormat="false" ht="21.75" hidden="false" customHeight="true" outlineLevel="0" collapsed="false">
      <c r="A139" s="1"/>
      <c r="B139" s="38"/>
      <c r="C139" s="31"/>
      <c r="D139" s="35" t="str">
        <f aca="false">IF(C139="","",IFERROR(INDEX(Products!$C$7:$C$104,MATCH(C139,Products!$B$7:$B$104,0)),"Unknown SKU"))</f>
        <v/>
      </c>
      <c r="E139" s="31"/>
      <c r="F139" s="31"/>
      <c r="G139" s="32"/>
      <c r="H139" s="33" t="str">
        <f aca="false">IF(C139="","",IF(G139="",IFERROR(INDEX(Products!$G$7:$G$104,MATCH(C139,Products!$B$7:$B$104,0)),0),G139))</f>
        <v/>
      </c>
      <c r="I139" s="33" t="str">
        <f aca="false">IF(C139="","",E139*H139)</f>
        <v/>
      </c>
      <c r="J139" s="1"/>
    </row>
    <row r="140" customFormat="false" ht="21.75" hidden="false" customHeight="true" outlineLevel="0" collapsed="false">
      <c r="A140" s="1"/>
      <c r="B140" s="38"/>
      <c r="C140" s="31"/>
      <c r="D140" s="35" t="str">
        <f aca="false">IF(C140="","",IFERROR(INDEX(Products!$C$7:$C$104,MATCH(C140,Products!$B$7:$B$104,0)),"Unknown SKU"))</f>
        <v/>
      </c>
      <c r="E140" s="31"/>
      <c r="F140" s="31"/>
      <c r="G140" s="32"/>
      <c r="H140" s="33" t="str">
        <f aca="false">IF(C140="","",IF(G140="",IFERROR(INDEX(Products!$G$7:$G$104,MATCH(C140,Products!$B$7:$B$104,0)),0),G140))</f>
        <v/>
      </c>
      <c r="I140" s="33" t="str">
        <f aca="false">IF(C140="","",E140*H140)</f>
        <v/>
      </c>
      <c r="J140" s="1"/>
    </row>
    <row r="141" customFormat="false" ht="21.75" hidden="false" customHeight="true" outlineLevel="0" collapsed="false">
      <c r="A141" s="1"/>
      <c r="B141" s="38"/>
      <c r="C141" s="31"/>
      <c r="D141" s="35" t="str">
        <f aca="false">IF(C141="","",IFERROR(INDEX(Products!$C$7:$C$104,MATCH(C141,Products!$B$7:$B$104,0)),"Unknown SKU"))</f>
        <v/>
      </c>
      <c r="E141" s="31"/>
      <c r="F141" s="31"/>
      <c r="G141" s="32"/>
      <c r="H141" s="33" t="str">
        <f aca="false">IF(C141="","",IF(G141="",IFERROR(INDEX(Products!$G$7:$G$104,MATCH(C141,Products!$B$7:$B$104,0)),0),G141))</f>
        <v/>
      </c>
      <c r="I141" s="33" t="str">
        <f aca="false">IF(C141="","",E141*H141)</f>
        <v/>
      </c>
      <c r="J141" s="1"/>
    </row>
    <row r="142" customFormat="false" ht="21.75" hidden="false" customHeight="true" outlineLevel="0" collapsed="false">
      <c r="A142" s="1"/>
      <c r="B142" s="38"/>
      <c r="C142" s="31"/>
      <c r="D142" s="35" t="str">
        <f aca="false">IF(C142="","",IFERROR(INDEX(Products!$C$7:$C$104,MATCH(C142,Products!$B$7:$B$104,0)),"Unknown SKU"))</f>
        <v/>
      </c>
      <c r="E142" s="31"/>
      <c r="F142" s="31"/>
      <c r="G142" s="32"/>
      <c r="H142" s="33" t="str">
        <f aca="false">IF(C142="","",IF(G142="",IFERROR(INDEX(Products!$G$7:$G$104,MATCH(C142,Products!$B$7:$B$104,0)),0),G142))</f>
        <v/>
      </c>
      <c r="I142" s="33" t="str">
        <f aca="false">IF(C142="","",E142*H142)</f>
        <v/>
      </c>
      <c r="J142" s="1"/>
    </row>
    <row r="143" customFormat="false" ht="21.75" hidden="false" customHeight="true" outlineLevel="0" collapsed="false">
      <c r="A143" s="1"/>
      <c r="B143" s="38"/>
      <c r="C143" s="31"/>
      <c r="D143" s="35" t="str">
        <f aca="false">IF(C143="","",IFERROR(INDEX(Products!$C$7:$C$104,MATCH(C143,Products!$B$7:$B$104,0)),"Unknown SKU"))</f>
        <v/>
      </c>
      <c r="E143" s="31"/>
      <c r="F143" s="31"/>
      <c r="G143" s="32"/>
      <c r="H143" s="33" t="str">
        <f aca="false">IF(C143="","",IF(G143="",IFERROR(INDEX(Products!$G$7:$G$104,MATCH(C143,Products!$B$7:$B$104,0)),0),G143))</f>
        <v/>
      </c>
      <c r="I143" s="33" t="str">
        <f aca="false">IF(C143="","",E143*H143)</f>
        <v/>
      </c>
      <c r="J143" s="1"/>
    </row>
    <row r="144" customFormat="false" ht="21.75" hidden="false" customHeight="true" outlineLevel="0" collapsed="false">
      <c r="A144" s="1"/>
      <c r="B144" s="38"/>
      <c r="C144" s="31"/>
      <c r="D144" s="35" t="str">
        <f aca="false">IF(C144="","",IFERROR(INDEX(Products!$C$7:$C$104,MATCH(C144,Products!$B$7:$B$104,0)),"Unknown SKU"))</f>
        <v/>
      </c>
      <c r="E144" s="31"/>
      <c r="F144" s="31"/>
      <c r="G144" s="32"/>
      <c r="H144" s="33" t="str">
        <f aca="false">IF(C144="","",IF(G144="",IFERROR(INDEX(Products!$G$7:$G$104,MATCH(C144,Products!$B$7:$B$104,0)),0),G144))</f>
        <v/>
      </c>
      <c r="I144" s="33" t="str">
        <f aca="false">IF(C144="","",E144*H144)</f>
        <v/>
      </c>
      <c r="J144" s="1"/>
    </row>
    <row r="145" customFormat="false" ht="21.75" hidden="false" customHeight="true" outlineLevel="0" collapsed="false">
      <c r="A145" s="1"/>
      <c r="B145" s="38"/>
      <c r="C145" s="31"/>
      <c r="D145" s="35" t="str">
        <f aca="false">IF(C145="","",IFERROR(INDEX(Products!$C$7:$C$104,MATCH(C145,Products!$B$7:$B$104,0)),"Unknown SKU"))</f>
        <v/>
      </c>
      <c r="E145" s="31"/>
      <c r="F145" s="31"/>
      <c r="G145" s="32"/>
      <c r="H145" s="33" t="str">
        <f aca="false">IF(C145="","",IF(G145="",IFERROR(INDEX(Products!$G$7:$G$104,MATCH(C145,Products!$B$7:$B$104,0)),0),G145))</f>
        <v/>
      </c>
      <c r="I145" s="33" t="str">
        <f aca="false">IF(C145="","",E145*H145)</f>
        <v/>
      </c>
      <c r="J145" s="1"/>
    </row>
    <row r="146" customFormat="false" ht="21.75" hidden="false" customHeight="true" outlineLevel="0" collapsed="false">
      <c r="A146" s="1"/>
      <c r="B146" s="38"/>
      <c r="C146" s="31"/>
      <c r="D146" s="35" t="str">
        <f aca="false">IF(C146="","",IFERROR(INDEX(Products!$C$7:$C$104,MATCH(C146,Products!$B$7:$B$104,0)),"Unknown SKU"))</f>
        <v/>
      </c>
      <c r="E146" s="31"/>
      <c r="F146" s="31"/>
      <c r="G146" s="32"/>
      <c r="H146" s="33" t="str">
        <f aca="false">IF(C146="","",IF(G146="",IFERROR(INDEX(Products!$G$7:$G$104,MATCH(C146,Products!$B$7:$B$104,0)),0),G146))</f>
        <v/>
      </c>
      <c r="I146" s="33" t="str">
        <f aca="false">IF(C146="","",E146*H146)</f>
        <v/>
      </c>
      <c r="J146" s="1"/>
    </row>
    <row r="147" customFormat="false" ht="21.75" hidden="false" customHeight="true" outlineLevel="0" collapsed="false">
      <c r="A147" s="1"/>
      <c r="B147" s="38"/>
      <c r="C147" s="31"/>
      <c r="D147" s="35" t="str">
        <f aca="false">IF(C147="","",IFERROR(INDEX(Products!$C$7:$C$104,MATCH(C147,Products!$B$7:$B$104,0)),"Unknown SKU"))</f>
        <v/>
      </c>
      <c r="E147" s="31"/>
      <c r="F147" s="31"/>
      <c r="G147" s="32"/>
      <c r="H147" s="33" t="str">
        <f aca="false">IF(C147="","",IF(G147="",IFERROR(INDEX(Products!$G$7:$G$104,MATCH(C147,Products!$B$7:$B$104,0)),0),G147))</f>
        <v/>
      </c>
      <c r="I147" s="33" t="str">
        <f aca="false">IF(C147="","",E147*H147)</f>
        <v/>
      </c>
      <c r="J147" s="1"/>
    </row>
    <row r="148" customFormat="false" ht="21.75" hidden="false" customHeight="true" outlineLevel="0" collapsed="false">
      <c r="A148" s="1"/>
      <c r="B148" s="38"/>
      <c r="C148" s="31"/>
      <c r="D148" s="35" t="str">
        <f aca="false">IF(C148="","",IFERROR(INDEX(Products!$C$7:$C$104,MATCH(C148,Products!$B$7:$B$104,0)),"Unknown SKU"))</f>
        <v/>
      </c>
      <c r="E148" s="31"/>
      <c r="F148" s="31"/>
      <c r="G148" s="32"/>
      <c r="H148" s="33" t="str">
        <f aca="false">IF(C148="","",IF(G148="",IFERROR(INDEX(Products!$G$7:$G$104,MATCH(C148,Products!$B$7:$B$104,0)),0),G148))</f>
        <v/>
      </c>
      <c r="I148" s="33" t="str">
        <f aca="false">IF(C148="","",E148*H148)</f>
        <v/>
      </c>
      <c r="J148" s="1"/>
    </row>
    <row r="149" customFormat="false" ht="21.75" hidden="false" customHeight="true" outlineLevel="0" collapsed="false">
      <c r="A149" s="1"/>
      <c r="B149" s="38"/>
      <c r="C149" s="31"/>
      <c r="D149" s="35" t="str">
        <f aca="false">IF(C149="","",IFERROR(INDEX(Products!$C$7:$C$104,MATCH(C149,Products!$B$7:$B$104,0)),"Unknown SKU"))</f>
        <v/>
      </c>
      <c r="E149" s="31"/>
      <c r="F149" s="31"/>
      <c r="G149" s="32"/>
      <c r="H149" s="33" t="str">
        <f aca="false">IF(C149="","",IF(G149="",IFERROR(INDEX(Products!$G$7:$G$104,MATCH(C149,Products!$B$7:$B$104,0)),0),G149))</f>
        <v/>
      </c>
      <c r="I149" s="33" t="str">
        <f aca="false">IF(C149="","",E149*H149)</f>
        <v/>
      </c>
      <c r="J149" s="1"/>
    </row>
    <row r="150" customFormat="false" ht="21.75" hidden="false" customHeight="true" outlineLevel="0" collapsed="false">
      <c r="A150" s="1"/>
      <c r="B150" s="38"/>
      <c r="C150" s="31"/>
      <c r="D150" s="35" t="str">
        <f aca="false">IF(C150="","",IFERROR(INDEX(Products!$C$7:$C$104,MATCH(C150,Products!$B$7:$B$104,0)),"Unknown SKU"))</f>
        <v/>
      </c>
      <c r="E150" s="31"/>
      <c r="F150" s="31"/>
      <c r="G150" s="32"/>
      <c r="H150" s="33" t="str">
        <f aca="false">IF(C150="","",IF(G150="",IFERROR(INDEX(Products!$G$7:$G$104,MATCH(C150,Products!$B$7:$B$104,0)),0),G150))</f>
        <v/>
      </c>
      <c r="I150" s="33" t="str">
        <f aca="false">IF(C150="","",E150*H150)</f>
        <v/>
      </c>
      <c r="J150" s="1"/>
    </row>
    <row r="151" customFormat="false" ht="21.75" hidden="false" customHeight="true" outlineLevel="0" collapsed="false">
      <c r="A151" s="1"/>
      <c r="B151" s="38"/>
      <c r="C151" s="31"/>
      <c r="D151" s="35" t="str">
        <f aca="false">IF(C151="","",IFERROR(INDEX(Products!$C$7:$C$104,MATCH(C151,Products!$B$7:$B$104,0)),"Unknown SKU"))</f>
        <v/>
      </c>
      <c r="E151" s="31"/>
      <c r="F151" s="31"/>
      <c r="G151" s="32"/>
      <c r="H151" s="33" t="str">
        <f aca="false">IF(C151="","",IF(G151="",IFERROR(INDEX(Products!$G$7:$G$104,MATCH(C151,Products!$B$7:$B$104,0)),0),G151))</f>
        <v/>
      </c>
      <c r="I151" s="33" t="str">
        <f aca="false">IF(C151="","",E151*H151)</f>
        <v/>
      </c>
      <c r="J151" s="1"/>
    </row>
    <row r="152" customFormat="false" ht="21.75" hidden="false" customHeight="true" outlineLevel="0" collapsed="false">
      <c r="A152" s="1"/>
      <c r="B152" s="38"/>
      <c r="C152" s="31"/>
      <c r="D152" s="35" t="str">
        <f aca="false">IF(C152="","",IFERROR(INDEX(Products!$C$7:$C$104,MATCH(C152,Products!$B$7:$B$104,0)),"Unknown SKU"))</f>
        <v/>
      </c>
      <c r="E152" s="31"/>
      <c r="F152" s="31"/>
      <c r="G152" s="32"/>
      <c r="H152" s="33" t="str">
        <f aca="false">IF(C152="","",IF(G152="",IFERROR(INDEX(Products!$G$7:$G$104,MATCH(C152,Products!$B$7:$B$104,0)),0),G152))</f>
        <v/>
      </c>
      <c r="I152" s="33" t="str">
        <f aca="false">IF(C152="","",E152*H152)</f>
        <v/>
      </c>
      <c r="J152" s="1"/>
    </row>
    <row r="153" customFormat="false" ht="21.75" hidden="false" customHeight="true" outlineLevel="0" collapsed="false">
      <c r="A153" s="1"/>
      <c r="B153" s="38"/>
      <c r="C153" s="31"/>
      <c r="D153" s="35" t="str">
        <f aca="false">IF(C153="","",IFERROR(INDEX(Products!$C$7:$C$104,MATCH(C153,Products!$B$7:$B$104,0)),"Unknown SKU"))</f>
        <v/>
      </c>
      <c r="E153" s="31"/>
      <c r="F153" s="31"/>
      <c r="G153" s="32"/>
      <c r="H153" s="33" t="str">
        <f aca="false">IF(C153="","",IF(G153="",IFERROR(INDEX(Products!$G$7:$G$104,MATCH(C153,Products!$B$7:$B$104,0)),0),G153))</f>
        <v/>
      </c>
      <c r="I153" s="33" t="str">
        <f aca="false">IF(C153="","",E153*H153)</f>
        <v/>
      </c>
      <c r="J153" s="1"/>
    </row>
    <row r="154" customFormat="false" ht="21.75" hidden="false" customHeight="true" outlineLevel="0" collapsed="false">
      <c r="A154" s="1"/>
      <c r="B154" s="38"/>
      <c r="C154" s="31"/>
      <c r="D154" s="35" t="str">
        <f aca="false">IF(C154="","",IFERROR(INDEX(Products!$C$7:$C$104,MATCH(C154,Products!$B$7:$B$104,0)),"Unknown SKU"))</f>
        <v/>
      </c>
      <c r="E154" s="31"/>
      <c r="F154" s="31"/>
      <c r="G154" s="32"/>
      <c r="H154" s="33" t="str">
        <f aca="false">IF(C154="","",IF(G154="",IFERROR(INDEX(Products!$G$7:$G$104,MATCH(C154,Products!$B$7:$B$104,0)),0),G154))</f>
        <v/>
      </c>
      <c r="I154" s="33" t="str">
        <f aca="false">IF(C154="","",E154*H154)</f>
        <v/>
      </c>
      <c r="J154" s="1"/>
    </row>
    <row r="155" customFormat="false" ht="21.75" hidden="false" customHeight="true" outlineLevel="0" collapsed="false">
      <c r="A155" s="1"/>
      <c r="B155" s="38"/>
      <c r="C155" s="31"/>
      <c r="D155" s="35" t="str">
        <f aca="false">IF(C155="","",IFERROR(INDEX(Products!$C$7:$C$104,MATCH(C155,Products!$B$7:$B$104,0)),"Unknown SKU"))</f>
        <v/>
      </c>
      <c r="E155" s="31"/>
      <c r="F155" s="31"/>
      <c r="G155" s="32"/>
      <c r="H155" s="33" t="str">
        <f aca="false">IF(C155="","",IF(G155="",IFERROR(INDEX(Products!$G$7:$G$104,MATCH(C155,Products!$B$7:$B$104,0)),0),G155))</f>
        <v/>
      </c>
      <c r="I155" s="33" t="str">
        <f aca="false">IF(C155="","",E155*H155)</f>
        <v/>
      </c>
      <c r="J155" s="1"/>
    </row>
    <row r="156" customFormat="false" ht="21.75" hidden="false" customHeight="true" outlineLevel="0" collapsed="false">
      <c r="A156" s="1"/>
      <c r="B156" s="38"/>
      <c r="C156" s="31"/>
      <c r="D156" s="35" t="str">
        <f aca="false">IF(C156="","",IFERROR(INDEX(Products!$C$7:$C$104,MATCH(C156,Products!$B$7:$B$104,0)),"Unknown SKU"))</f>
        <v/>
      </c>
      <c r="E156" s="31"/>
      <c r="F156" s="31"/>
      <c r="G156" s="32"/>
      <c r="H156" s="33" t="str">
        <f aca="false">IF(C156="","",IF(G156="",IFERROR(INDEX(Products!$G$7:$G$104,MATCH(C156,Products!$B$7:$B$104,0)),0),G156))</f>
        <v/>
      </c>
      <c r="I156" s="33" t="str">
        <f aca="false">IF(C156="","",E156*H156)</f>
        <v/>
      </c>
      <c r="J156" s="1"/>
    </row>
    <row r="157" customFormat="false" ht="21.75" hidden="false" customHeight="true" outlineLevel="0" collapsed="false">
      <c r="A157" s="1"/>
      <c r="B157" s="38"/>
      <c r="C157" s="31"/>
      <c r="D157" s="35" t="str">
        <f aca="false">IF(C157="","",IFERROR(INDEX(Products!$C$7:$C$104,MATCH(C157,Products!$B$7:$B$104,0)),"Unknown SKU"))</f>
        <v/>
      </c>
      <c r="E157" s="31"/>
      <c r="F157" s="31"/>
      <c r="G157" s="32"/>
      <c r="H157" s="33" t="str">
        <f aca="false">IF(C157="","",IF(G157="",IFERROR(INDEX(Products!$G$7:$G$104,MATCH(C157,Products!$B$7:$B$104,0)),0),G157))</f>
        <v/>
      </c>
      <c r="I157" s="33" t="str">
        <f aca="false">IF(C157="","",E157*H157)</f>
        <v/>
      </c>
      <c r="J157" s="1"/>
    </row>
    <row r="158" customFormat="false" ht="21.75" hidden="false" customHeight="true" outlineLevel="0" collapsed="false">
      <c r="A158" s="1"/>
      <c r="B158" s="38"/>
      <c r="C158" s="31"/>
      <c r="D158" s="35" t="str">
        <f aca="false">IF(C158="","",IFERROR(INDEX(Products!$C$7:$C$104,MATCH(C158,Products!$B$7:$B$104,0)),"Unknown SKU"))</f>
        <v/>
      </c>
      <c r="E158" s="31"/>
      <c r="F158" s="31"/>
      <c r="G158" s="32"/>
      <c r="H158" s="33" t="str">
        <f aca="false">IF(C158="","",IF(G158="",IFERROR(INDEX(Products!$G$7:$G$104,MATCH(C158,Products!$B$7:$B$104,0)),0),G158))</f>
        <v/>
      </c>
      <c r="I158" s="33" t="str">
        <f aca="false">IF(C158="","",E158*H158)</f>
        <v/>
      </c>
      <c r="J158" s="1"/>
    </row>
    <row r="159" customFormat="false" ht="21.75" hidden="false" customHeight="true" outlineLevel="0" collapsed="false">
      <c r="A159" s="1"/>
      <c r="B159" s="38"/>
      <c r="C159" s="31"/>
      <c r="D159" s="35" t="str">
        <f aca="false">IF(C159="","",IFERROR(INDEX(Products!$C$7:$C$104,MATCH(C159,Products!$B$7:$B$104,0)),"Unknown SKU"))</f>
        <v/>
      </c>
      <c r="E159" s="31"/>
      <c r="F159" s="31"/>
      <c r="G159" s="32"/>
      <c r="H159" s="33" t="str">
        <f aca="false">IF(C159="","",IF(G159="",IFERROR(INDEX(Products!$G$7:$G$104,MATCH(C159,Products!$B$7:$B$104,0)),0),G159))</f>
        <v/>
      </c>
      <c r="I159" s="33" t="str">
        <f aca="false">IF(C159="","",E159*H159)</f>
        <v/>
      </c>
      <c r="J159" s="1"/>
    </row>
    <row r="160" customFormat="false" ht="21.75" hidden="false" customHeight="true" outlineLevel="0" collapsed="false">
      <c r="A160" s="1"/>
      <c r="B160" s="38"/>
      <c r="C160" s="31"/>
      <c r="D160" s="35" t="str">
        <f aca="false">IF(C160="","",IFERROR(INDEX(Products!$C$7:$C$104,MATCH(C160,Products!$B$7:$B$104,0)),"Unknown SKU"))</f>
        <v/>
      </c>
      <c r="E160" s="31"/>
      <c r="F160" s="31"/>
      <c r="G160" s="32"/>
      <c r="H160" s="33" t="str">
        <f aca="false">IF(C160="","",IF(G160="",IFERROR(INDEX(Products!$G$7:$G$104,MATCH(C160,Products!$B$7:$B$104,0)),0),G160))</f>
        <v/>
      </c>
      <c r="I160" s="33" t="str">
        <f aca="false">IF(C160="","",E160*H160)</f>
        <v/>
      </c>
      <c r="J160" s="1"/>
    </row>
    <row r="161" customFormat="false" ht="21.75" hidden="false" customHeight="true" outlineLevel="0" collapsed="false">
      <c r="A161" s="1"/>
      <c r="B161" s="38"/>
      <c r="C161" s="31"/>
      <c r="D161" s="35" t="str">
        <f aca="false">IF(C161="","",IFERROR(INDEX(Products!$C$7:$C$104,MATCH(C161,Products!$B$7:$B$104,0)),"Unknown SKU"))</f>
        <v/>
      </c>
      <c r="E161" s="31"/>
      <c r="F161" s="31"/>
      <c r="G161" s="32"/>
      <c r="H161" s="33" t="str">
        <f aca="false">IF(C161="","",IF(G161="",IFERROR(INDEX(Products!$G$7:$G$104,MATCH(C161,Products!$B$7:$B$104,0)),0),G161))</f>
        <v/>
      </c>
      <c r="I161" s="33" t="str">
        <f aca="false">IF(C161="","",E161*H161)</f>
        <v/>
      </c>
      <c r="J161" s="1"/>
    </row>
    <row r="162" customFormat="false" ht="21.75" hidden="false" customHeight="true" outlineLevel="0" collapsed="false">
      <c r="A162" s="1"/>
      <c r="B162" s="38"/>
      <c r="C162" s="31"/>
      <c r="D162" s="35" t="str">
        <f aca="false">IF(C162="","",IFERROR(INDEX(Products!$C$7:$C$104,MATCH(C162,Products!$B$7:$B$104,0)),"Unknown SKU"))</f>
        <v/>
      </c>
      <c r="E162" s="31"/>
      <c r="F162" s="31"/>
      <c r="G162" s="32"/>
      <c r="H162" s="33" t="str">
        <f aca="false">IF(C162="","",IF(G162="",IFERROR(INDEX(Products!$G$7:$G$104,MATCH(C162,Products!$B$7:$B$104,0)),0),G162))</f>
        <v/>
      </c>
      <c r="I162" s="33" t="str">
        <f aca="false">IF(C162="","",E162*H162)</f>
        <v/>
      </c>
      <c r="J162" s="1"/>
    </row>
    <row r="163" customFormat="false" ht="21.75" hidden="false" customHeight="true" outlineLevel="0" collapsed="false">
      <c r="A163" s="1"/>
      <c r="B163" s="38"/>
      <c r="C163" s="31"/>
      <c r="D163" s="35" t="str">
        <f aca="false">IF(C163="","",IFERROR(INDEX(Products!$C$7:$C$104,MATCH(C163,Products!$B$7:$B$104,0)),"Unknown SKU"))</f>
        <v/>
      </c>
      <c r="E163" s="31"/>
      <c r="F163" s="31"/>
      <c r="G163" s="32"/>
      <c r="H163" s="33" t="str">
        <f aca="false">IF(C163="","",IF(G163="",IFERROR(INDEX(Products!$G$7:$G$104,MATCH(C163,Products!$B$7:$B$104,0)),0),G163))</f>
        <v/>
      </c>
      <c r="I163" s="33" t="str">
        <f aca="false">IF(C163="","",E163*H163)</f>
        <v/>
      </c>
      <c r="J163" s="1"/>
    </row>
    <row r="164" customFormat="false" ht="21.75" hidden="false" customHeight="true" outlineLevel="0" collapsed="false">
      <c r="A164" s="1"/>
      <c r="B164" s="38"/>
      <c r="C164" s="31"/>
      <c r="D164" s="35" t="str">
        <f aca="false">IF(C164="","",IFERROR(INDEX(Products!$C$7:$C$104,MATCH(C164,Products!$B$7:$B$104,0)),"Unknown SKU"))</f>
        <v/>
      </c>
      <c r="E164" s="31"/>
      <c r="F164" s="31"/>
      <c r="G164" s="32"/>
      <c r="H164" s="33" t="str">
        <f aca="false">IF(C164="","",IF(G164="",IFERROR(INDEX(Products!$G$7:$G$104,MATCH(C164,Products!$B$7:$B$104,0)),0),G164))</f>
        <v/>
      </c>
      <c r="I164" s="33" t="str">
        <f aca="false">IF(C164="","",E164*H164)</f>
        <v/>
      </c>
      <c r="J164" s="1"/>
    </row>
    <row r="165" customFormat="false" ht="21.75" hidden="false" customHeight="true" outlineLevel="0" collapsed="false">
      <c r="A165" s="1"/>
      <c r="B165" s="38"/>
      <c r="C165" s="31"/>
      <c r="D165" s="35" t="str">
        <f aca="false">IF(C165="","",IFERROR(INDEX(Products!$C$7:$C$104,MATCH(C165,Products!$B$7:$B$104,0)),"Unknown SKU"))</f>
        <v/>
      </c>
      <c r="E165" s="31"/>
      <c r="F165" s="31"/>
      <c r="G165" s="32"/>
      <c r="H165" s="33" t="str">
        <f aca="false">IF(C165="","",IF(G165="",IFERROR(INDEX(Products!$G$7:$G$104,MATCH(C165,Products!$B$7:$B$104,0)),0),G165))</f>
        <v/>
      </c>
      <c r="I165" s="33" t="str">
        <f aca="false">IF(C165="","",E165*H165)</f>
        <v/>
      </c>
      <c r="J165" s="1"/>
    </row>
    <row r="166" customFormat="false" ht="21.75" hidden="false" customHeight="true" outlineLevel="0" collapsed="false">
      <c r="A166" s="1"/>
      <c r="B166" s="38"/>
      <c r="C166" s="31"/>
      <c r="D166" s="35" t="str">
        <f aca="false">IF(C166="","",IFERROR(INDEX(Products!$C$7:$C$104,MATCH(C166,Products!$B$7:$B$104,0)),"Unknown SKU"))</f>
        <v/>
      </c>
      <c r="E166" s="31"/>
      <c r="F166" s="31"/>
      <c r="G166" s="32"/>
      <c r="H166" s="33" t="str">
        <f aca="false">IF(C166="","",IF(G166="",IFERROR(INDEX(Products!$G$7:$G$104,MATCH(C166,Products!$B$7:$B$104,0)),0),G166))</f>
        <v/>
      </c>
      <c r="I166" s="33" t="str">
        <f aca="false">IF(C166="","",E166*H166)</f>
        <v/>
      </c>
      <c r="J166" s="1"/>
    </row>
    <row r="167" customFormat="false" ht="21.75" hidden="false" customHeight="true" outlineLevel="0" collapsed="false">
      <c r="A167" s="1"/>
      <c r="B167" s="38"/>
      <c r="C167" s="31"/>
      <c r="D167" s="35" t="str">
        <f aca="false">IF(C167="","",IFERROR(INDEX(Products!$C$7:$C$104,MATCH(C167,Products!$B$7:$B$104,0)),"Unknown SKU"))</f>
        <v/>
      </c>
      <c r="E167" s="31"/>
      <c r="F167" s="31"/>
      <c r="G167" s="32"/>
      <c r="H167" s="33" t="str">
        <f aca="false">IF(C167="","",IF(G167="",IFERROR(INDEX(Products!$G$7:$G$104,MATCH(C167,Products!$B$7:$B$104,0)),0),G167))</f>
        <v/>
      </c>
      <c r="I167" s="33" t="str">
        <f aca="false">IF(C167="","",E167*H167)</f>
        <v/>
      </c>
      <c r="J167" s="1"/>
    </row>
    <row r="168" customFormat="false" ht="21.75" hidden="false" customHeight="true" outlineLevel="0" collapsed="false">
      <c r="A168" s="1"/>
      <c r="B168" s="38"/>
      <c r="C168" s="31"/>
      <c r="D168" s="35" t="str">
        <f aca="false">IF(C168="","",IFERROR(INDEX(Products!$C$7:$C$104,MATCH(C168,Products!$B$7:$B$104,0)),"Unknown SKU"))</f>
        <v/>
      </c>
      <c r="E168" s="31"/>
      <c r="F168" s="31"/>
      <c r="G168" s="32"/>
      <c r="H168" s="33" t="str">
        <f aca="false">IF(C168="","",IF(G168="",IFERROR(INDEX(Products!$G$7:$G$104,MATCH(C168,Products!$B$7:$B$104,0)),0),G168))</f>
        <v/>
      </c>
      <c r="I168" s="33" t="str">
        <f aca="false">IF(C168="","",E168*H168)</f>
        <v/>
      </c>
      <c r="J168" s="1"/>
    </row>
    <row r="169" customFormat="false" ht="21.75" hidden="false" customHeight="true" outlineLevel="0" collapsed="false">
      <c r="A169" s="1"/>
      <c r="B169" s="38"/>
      <c r="C169" s="31"/>
      <c r="D169" s="35" t="str">
        <f aca="false">IF(C169="","",IFERROR(INDEX(Products!$C$7:$C$104,MATCH(C169,Products!$B$7:$B$104,0)),"Unknown SKU"))</f>
        <v/>
      </c>
      <c r="E169" s="31"/>
      <c r="F169" s="31"/>
      <c r="G169" s="32"/>
      <c r="H169" s="33" t="str">
        <f aca="false">IF(C169="","",IF(G169="",IFERROR(INDEX(Products!$G$7:$G$104,MATCH(C169,Products!$B$7:$B$104,0)),0),G169))</f>
        <v/>
      </c>
      <c r="I169" s="33" t="str">
        <f aca="false">IF(C169="","",E169*H169)</f>
        <v/>
      </c>
      <c r="J169" s="1"/>
    </row>
    <row r="170" customFormat="false" ht="21.75" hidden="false" customHeight="true" outlineLevel="0" collapsed="false">
      <c r="A170" s="1"/>
      <c r="B170" s="38"/>
      <c r="C170" s="31"/>
      <c r="D170" s="35" t="str">
        <f aca="false">IF(C170="","",IFERROR(INDEX(Products!$C$7:$C$104,MATCH(C170,Products!$B$7:$B$104,0)),"Unknown SKU"))</f>
        <v/>
      </c>
      <c r="E170" s="31"/>
      <c r="F170" s="31"/>
      <c r="G170" s="32"/>
      <c r="H170" s="33" t="str">
        <f aca="false">IF(C170="","",IF(G170="",IFERROR(INDEX(Products!$G$7:$G$104,MATCH(C170,Products!$B$7:$B$104,0)),0),G170))</f>
        <v/>
      </c>
      <c r="I170" s="33" t="str">
        <f aca="false">IF(C170="","",E170*H170)</f>
        <v/>
      </c>
      <c r="J170" s="1"/>
    </row>
    <row r="171" customFormat="false" ht="21.75" hidden="false" customHeight="true" outlineLevel="0" collapsed="false">
      <c r="A171" s="1"/>
      <c r="B171" s="38"/>
      <c r="C171" s="31"/>
      <c r="D171" s="35" t="str">
        <f aca="false">IF(C171="","",IFERROR(INDEX(Products!$C$7:$C$104,MATCH(C171,Products!$B$7:$B$104,0)),"Unknown SKU"))</f>
        <v/>
      </c>
      <c r="E171" s="31"/>
      <c r="F171" s="31"/>
      <c r="G171" s="32"/>
      <c r="H171" s="33" t="str">
        <f aca="false">IF(C171="","",IF(G171="",IFERROR(INDEX(Products!$G$7:$G$104,MATCH(C171,Products!$B$7:$B$104,0)),0),G171))</f>
        <v/>
      </c>
      <c r="I171" s="33" t="str">
        <f aca="false">IF(C171="","",E171*H171)</f>
        <v/>
      </c>
      <c r="J171" s="1"/>
    </row>
    <row r="172" customFormat="false" ht="21.75" hidden="false" customHeight="true" outlineLevel="0" collapsed="false">
      <c r="A172" s="1"/>
      <c r="B172" s="38"/>
      <c r="C172" s="31"/>
      <c r="D172" s="35" t="str">
        <f aca="false">IF(C172="","",IFERROR(INDEX(Products!$C$7:$C$104,MATCH(C172,Products!$B$7:$B$104,0)),"Unknown SKU"))</f>
        <v/>
      </c>
      <c r="E172" s="31"/>
      <c r="F172" s="31"/>
      <c r="G172" s="32"/>
      <c r="H172" s="33" t="str">
        <f aca="false">IF(C172="","",IF(G172="",IFERROR(INDEX(Products!$G$7:$G$104,MATCH(C172,Products!$B$7:$B$104,0)),0),G172))</f>
        <v/>
      </c>
      <c r="I172" s="33" t="str">
        <f aca="false">IF(C172="","",E172*H172)</f>
        <v/>
      </c>
      <c r="J172" s="1"/>
    </row>
    <row r="173" customFormat="false" ht="21.75" hidden="false" customHeight="true" outlineLevel="0" collapsed="false">
      <c r="A173" s="1"/>
      <c r="B173" s="38"/>
      <c r="C173" s="31"/>
      <c r="D173" s="35" t="str">
        <f aca="false">IF(C173="","",IFERROR(INDEX(Products!$C$7:$C$104,MATCH(C173,Products!$B$7:$B$104,0)),"Unknown SKU"))</f>
        <v/>
      </c>
      <c r="E173" s="31"/>
      <c r="F173" s="31"/>
      <c r="G173" s="32"/>
      <c r="H173" s="33" t="str">
        <f aca="false">IF(C173="","",IF(G173="",IFERROR(INDEX(Products!$G$7:$G$104,MATCH(C173,Products!$B$7:$B$104,0)),0),G173))</f>
        <v/>
      </c>
      <c r="I173" s="33" t="str">
        <f aca="false">IF(C173="","",E173*H173)</f>
        <v/>
      </c>
      <c r="J173" s="1"/>
    </row>
    <row r="174" customFormat="false" ht="21.75" hidden="false" customHeight="true" outlineLevel="0" collapsed="false">
      <c r="A174" s="1"/>
      <c r="B174" s="38"/>
      <c r="C174" s="31"/>
      <c r="D174" s="35" t="str">
        <f aca="false">IF(C174="","",IFERROR(INDEX(Products!$C$7:$C$104,MATCH(C174,Products!$B$7:$B$104,0)),"Unknown SKU"))</f>
        <v/>
      </c>
      <c r="E174" s="31"/>
      <c r="F174" s="31"/>
      <c r="G174" s="32"/>
      <c r="H174" s="33" t="str">
        <f aca="false">IF(C174="","",IF(G174="",IFERROR(INDEX(Products!$G$7:$G$104,MATCH(C174,Products!$B$7:$B$104,0)),0),G174))</f>
        <v/>
      </c>
      <c r="I174" s="33" t="str">
        <f aca="false">IF(C174="","",E174*H174)</f>
        <v/>
      </c>
      <c r="J174" s="1"/>
    </row>
    <row r="175" customFormat="false" ht="21.75" hidden="false" customHeight="true" outlineLevel="0" collapsed="false">
      <c r="A175" s="1"/>
      <c r="B175" s="38"/>
      <c r="C175" s="31"/>
      <c r="D175" s="35" t="str">
        <f aca="false">IF(C175="","",IFERROR(INDEX(Products!$C$7:$C$104,MATCH(C175,Products!$B$7:$B$104,0)),"Unknown SKU"))</f>
        <v/>
      </c>
      <c r="E175" s="31"/>
      <c r="F175" s="31"/>
      <c r="G175" s="32"/>
      <c r="H175" s="33" t="str">
        <f aca="false">IF(C175="","",IF(G175="",IFERROR(INDEX(Products!$G$7:$G$104,MATCH(C175,Products!$B$7:$B$104,0)),0),G175))</f>
        <v/>
      </c>
      <c r="I175" s="33" t="str">
        <f aca="false">IF(C175="","",E175*H175)</f>
        <v/>
      </c>
      <c r="J175" s="1"/>
    </row>
    <row r="176" customFormat="false" ht="21.75" hidden="false" customHeight="true" outlineLevel="0" collapsed="false">
      <c r="A176" s="1"/>
      <c r="B176" s="38"/>
      <c r="C176" s="31"/>
      <c r="D176" s="35" t="str">
        <f aca="false">IF(C176="","",IFERROR(INDEX(Products!$C$7:$C$104,MATCH(C176,Products!$B$7:$B$104,0)),"Unknown SKU"))</f>
        <v/>
      </c>
      <c r="E176" s="31"/>
      <c r="F176" s="31"/>
      <c r="G176" s="32"/>
      <c r="H176" s="33" t="str">
        <f aca="false">IF(C176="","",IF(G176="",IFERROR(INDEX(Products!$G$7:$G$104,MATCH(C176,Products!$B$7:$B$104,0)),0),G176))</f>
        <v/>
      </c>
      <c r="I176" s="33" t="str">
        <f aca="false">IF(C176="","",E176*H176)</f>
        <v/>
      </c>
      <c r="J176" s="1"/>
    </row>
    <row r="177" customFormat="false" ht="21.75" hidden="false" customHeight="true" outlineLevel="0" collapsed="false">
      <c r="A177" s="1"/>
      <c r="B177" s="38"/>
      <c r="C177" s="31"/>
      <c r="D177" s="35" t="str">
        <f aca="false">IF(C177="","",IFERROR(INDEX(Products!$C$7:$C$104,MATCH(C177,Products!$B$7:$B$104,0)),"Unknown SKU"))</f>
        <v/>
      </c>
      <c r="E177" s="31"/>
      <c r="F177" s="31"/>
      <c r="G177" s="32"/>
      <c r="H177" s="33" t="str">
        <f aca="false">IF(C177="","",IF(G177="",IFERROR(INDEX(Products!$G$7:$G$104,MATCH(C177,Products!$B$7:$B$104,0)),0),G177))</f>
        <v/>
      </c>
      <c r="I177" s="33" t="str">
        <f aca="false">IF(C177="","",E177*H177)</f>
        <v/>
      </c>
      <c r="J177" s="1"/>
    </row>
    <row r="178" customFormat="false" ht="21.75" hidden="false" customHeight="true" outlineLevel="0" collapsed="false">
      <c r="A178" s="1"/>
      <c r="B178" s="38"/>
      <c r="C178" s="31"/>
      <c r="D178" s="35" t="str">
        <f aca="false">IF(C178="","",IFERROR(INDEX(Products!$C$7:$C$104,MATCH(C178,Products!$B$7:$B$104,0)),"Unknown SKU"))</f>
        <v/>
      </c>
      <c r="E178" s="31"/>
      <c r="F178" s="31"/>
      <c r="G178" s="32"/>
      <c r="H178" s="33" t="str">
        <f aca="false">IF(C178="","",IF(G178="",IFERROR(INDEX(Products!$G$7:$G$104,MATCH(C178,Products!$B$7:$B$104,0)),0),G178))</f>
        <v/>
      </c>
      <c r="I178" s="33" t="str">
        <f aca="false">IF(C178="","",E178*H178)</f>
        <v/>
      </c>
      <c r="J178" s="1"/>
    </row>
    <row r="179" customFormat="false" ht="21.75" hidden="false" customHeight="true" outlineLevel="0" collapsed="false">
      <c r="A179" s="1"/>
      <c r="B179" s="38"/>
      <c r="C179" s="31"/>
      <c r="D179" s="35" t="str">
        <f aca="false">IF(C179="","",IFERROR(INDEX(Products!$C$7:$C$104,MATCH(C179,Products!$B$7:$B$104,0)),"Unknown SKU"))</f>
        <v/>
      </c>
      <c r="E179" s="31"/>
      <c r="F179" s="31"/>
      <c r="G179" s="32"/>
      <c r="H179" s="33" t="str">
        <f aca="false">IF(C179="","",IF(G179="",IFERROR(INDEX(Products!$G$7:$G$104,MATCH(C179,Products!$B$7:$B$104,0)),0),G179))</f>
        <v/>
      </c>
      <c r="I179" s="33" t="str">
        <f aca="false">IF(C179="","",E179*H179)</f>
        <v/>
      </c>
      <c r="J179" s="1"/>
    </row>
    <row r="180" customFormat="false" ht="21.75" hidden="false" customHeight="true" outlineLevel="0" collapsed="false">
      <c r="A180" s="1"/>
      <c r="B180" s="38"/>
      <c r="C180" s="31"/>
      <c r="D180" s="35" t="str">
        <f aca="false">IF(C180="","",IFERROR(INDEX(Products!$C$7:$C$104,MATCH(C180,Products!$B$7:$B$104,0)),"Unknown SKU"))</f>
        <v/>
      </c>
      <c r="E180" s="31"/>
      <c r="F180" s="31"/>
      <c r="G180" s="32"/>
      <c r="H180" s="33" t="str">
        <f aca="false">IF(C180="","",IF(G180="",IFERROR(INDEX(Products!$G$7:$G$104,MATCH(C180,Products!$B$7:$B$104,0)),0),G180))</f>
        <v/>
      </c>
      <c r="I180" s="33" t="str">
        <f aca="false">IF(C180="","",E180*H180)</f>
        <v/>
      </c>
      <c r="J180" s="1"/>
    </row>
    <row r="181" customFormat="false" ht="21.75" hidden="false" customHeight="true" outlineLevel="0" collapsed="false">
      <c r="A181" s="1"/>
      <c r="B181" s="38"/>
      <c r="C181" s="31"/>
      <c r="D181" s="35" t="str">
        <f aca="false">IF(C181="","",IFERROR(INDEX(Products!$C$7:$C$104,MATCH(C181,Products!$B$7:$B$104,0)),"Unknown SKU"))</f>
        <v/>
      </c>
      <c r="E181" s="31"/>
      <c r="F181" s="31"/>
      <c r="G181" s="32"/>
      <c r="H181" s="33" t="str">
        <f aca="false">IF(C181="","",IF(G181="",IFERROR(INDEX(Products!$G$7:$G$104,MATCH(C181,Products!$B$7:$B$104,0)),0),G181))</f>
        <v/>
      </c>
      <c r="I181" s="33" t="str">
        <f aca="false">IF(C181="","",E181*H181)</f>
        <v/>
      </c>
      <c r="J181" s="1"/>
    </row>
    <row r="182" customFormat="false" ht="21.75" hidden="false" customHeight="true" outlineLevel="0" collapsed="false">
      <c r="A182" s="1"/>
      <c r="B182" s="38"/>
      <c r="C182" s="31"/>
      <c r="D182" s="35" t="str">
        <f aca="false">IF(C182="","",IFERROR(INDEX(Products!$C$7:$C$104,MATCH(C182,Products!$B$7:$B$104,0)),"Unknown SKU"))</f>
        <v/>
      </c>
      <c r="E182" s="31"/>
      <c r="F182" s="31"/>
      <c r="G182" s="32"/>
      <c r="H182" s="33" t="str">
        <f aca="false">IF(C182="","",IF(G182="",IFERROR(INDEX(Products!$G$7:$G$104,MATCH(C182,Products!$B$7:$B$104,0)),0),G182))</f>
        <v/>
      </c>
      <c r="I182" s="33" t="str">
        <f aca="false">IF(C182="","",E182*H182)</f>
        <v/>
      </c>
      <c r="J182" s="1"/>
    </row>
    <row r="183" customFormat="false" ht="21.75" hidden="false" customHeight="true" outlineLevel="0" collapsed="false">
      <c r="A183" s="1"/>
      <c r="B183" s="38"/>
      <c r="C183" s="31"/>
      <c r="D183" s="35" t="str">
        <f aca="false">IF(C183="","",IFERROR(INDEX(Products!$C$7:$C$104,MATCH(C183,Products!$B$7:$B$104,0)),"Unknown SKU"))</f>
        <v/>
      </c>
      <c r="E183" s="31"/>
      <c r="F183" s="31"/>
      <c r="G183" s="32"/>
      <c r="H183" s="33" t="str">
        <f aca="false">IF(C183="","",IF(G183="",IFERROR(INDEX(Products!$G$7:$G$104,MATCH(C183,Products!$B$7:$B$104,0)),0),G183))</f>
        <v/>
      </c>
      <c r="I183" s="33" t="str">
        <f aca="false">IF(C183="","",E183*H183)</f>
        <v/>
      </c>
      <c r="J183" s="1"/>
    </row>
    <row r="184" customFormat="false" ht="21.75" hidden="false" customHeight="true" outlineLevel="0" collapsed="false">
      <c r="A184" s="1"/>
      <c r="B184" s="38"/>
      <c r="C184" s="31"/>
      <c r="D184" s="35" t="str">
        <f aca="false">IF(C184="","",IFERROR(INDEX(Products!$C$7:$C$104,MATCH(C184,Products!$B$7:$B$104,0)),"Unknown SKU"))</f>
        <v/>
      </c>
      <c r="E184" s="31"/>
      <c r="F184" s="31"/>
      <c r="G184" s="32"/>
      <c r="H184" s="33" t="str">
        <f aca="false">IF(C184="","",IF(G184="",IFERROR(INDEX(Products!$G$7:$G$104,MATCH(C184,Products!$B$7:$B$104,0)),0),G184))</f>
        <v/>
      </c>
      <c r="I184" s="33" t="str">
        <f aca="false">IF(C184="","",E184*H184)</f>
        <v/>
      </c>
      <c r="J184" s="1"/>
    </row>
    <row r="185" customFormat="false" ht="21.75" hidden="false" customHeight="true" outlineLevel="0" collapsed="false">
      <c r="A185" s="1"/>
      <c r="B185" s="38"/>
      <c r="C185" s="31"/>
      <c r="D185" s="35" t="str">
        <f aca="false">IF(C185="","",IFERROR(INDEX(Products!$C$7:$C$104,MATCH(C185,Products!$B$7:$B$104,0)),"Unknown SKU"))</f>
        <v/>
      </c>
      <c r="E185" s="31"/>
      <c r="F185" s="31"/>
      <c r="G185" s="32"/>
      <c r="H185" s="33" t="str">
        <f aca="false">IF(C185="","",IF(G185="",IFERROR(INDEX(Products!$G$7:$G$104,MATCH(C185,Products!$B$7:$B$104,0)),0),G185))</f>
        <v/>
      </c>
      <c r="I185" s="33" t="str">
        <f aca="false">IF(C185="","",E185*H185)</f>
        <v/>
      </c>
      <c r="J185" s="1"/>
    </row>
    <row r="186" customFormat="false" ht="21.75" hidden="false" customHeight="true" outlineLevel="0" collapsed="false">
      <c r="A186" s="1"/>
      <c r="B186" s="38"/>
      <c r="C186" s="31"/>
      <c r="D186" s="35" t="str">
        <f aca="false">IF(C186="","",IFERROR(INDEX(Products!$C$7:$C$104,MATCH(C186,Products!$B$7:$B$104,0)),"Unknown SKU"))</f>
        <v/>
      </c>
      <c r="E186" s="31"/>
      <c r="F186" s="31"/>
      <c r="G186" s="32"/>
      <c r="H186" s="33" t="str">
        <f aca="false">IF(C186="","",IF(G186="",IFERROR(INDEX(Products!$G$7:$G$104,MATCH(C186,Products!$B$7:$B$104,0)),0),G186))</f>
        <v/>
      </c>
      <c r="I186" s="33" t="str">
        <f aca="false">IF(C186="","",E186*H186)</f>
        <v/>
      </c>
      <c r="J186" s="1"/>
    </row>
    <row r="187" customFormat="false" ht="21.75" hidden="false" customHeight="true" outlineLevel="0" collapsed="false">
      <c r="A187" s="1"/>
      <c r="B187" s="38"/>
      <c r="C187" s="31"/>
      <c r="D187" s="35" t="str">
        <f aca="false">IF(C187="","",IFERROR(INDEX(Products!$C$7:$C$104,MATCH(C187,Products!$B$7:$B$104,0)),"Unknown SKU"))</f>
        <v/>
      </c>
      <c r="E187" s="31"/>
      <c r="F187" s="31"/>
      <c r="G187" s="32"/>
      <c r="H187" s="33" t="str">
        <f aca="false">IF(C187="","",IF(G187="",IFERROR(INDEX(Products!$G$7:$G$104,MATCH(C187,Products!$B$7:$B$104,0)),0),G187))</f>
        <v/>
      </c>
      <c r="I187" s="33" t="str">
        <f aca="false">IF(C187="","",E187*H187)</f>
        <v/>
      </c>
      <c r="J187" s="1"/>
    </row>
    <row r="188" customFormat="false" ht="21.75" hidden="false" customHeight="true" outlineLevel="0" collapsed="false">
      <c r="A188" s="1"/>
      <c r="B188" s="38"/>
      <c r="C188" s="31"/>
      <c r="D188" s="35" t="str">
        <f aca="false">IF(C188="","",IFERROR(INDEX(Products!$C$7:$C$104,MATCH(C188,Products!$B$7:$B$104,0)),"Unknown SKU"))</f>
        <v/>
      </c>
      <c r="E188" s="31"/>
      <c r="F188" s="31"/>
      <c r="G188" s="32"/>
      <c r="H188" s="33" t="str">
        <f aca="false">IF(C188="","",IF(G188="",IFERROR(INDEX(Products!$G$7:$G$104,MATCH(C188,Products!$B$7:$B$104,0)),0),G188))</f>
        <v/>
      </c>
      <c r="I188" s="33" t="str">
        <f aca="false">IF(C188="","",E188*H188)</f>
        <v/>
      </c>
      <c r="J188" s="1"/>
    </row>
    <row r="189" customFormat="false" ht="21.75" hidden="false" customHeight="true" outlineLevel="0" collapsed="false">
      <c r="A189" s="1"/>
      <c r="B189" s="38"/>
      <c r="C189" s="31"/>
      <c r="D189" s="35" t="str">
        <f aca="false">IF(C189="","",IFERROR(INDEX(Products!$C$7:$C$104,MATCH(C189,Products!$B$7:$B$104,0)),"Unknown SKU"))</f>
        <v/>
      </c>
      <c r="E189" s="31"/>
      <c r="F189" s="31"/>
      <c r="G189" s="32"/>
      <c r="H189" s="33" t="str">
        <f aca="false">IF(C189="","",IF(G189="",IFERROR(INDEX(Products!$G$7:$G$104,MATCH(C189,Products!$B$7:$B$104,0)),0),G189))</f>
        <v/>
      </c>
      <c r="I189" s="33" t="str">
        <f aca="false">IF(C189="","",E189*H189)</f>
        <v/>
      </c>
      <c r="J189" s="1"/>
    </row>
    <row r="190" customFormat="false" ht="21.75" hidden="false" customHeight="true" outlineLevel="0" collapsed="false">
      <c r="A190" s="1"/>
      <c r="B190" s="38"/>
      <c r="C190" s="31"/>
      <c r="D190" s="35" t="str">
        <f aca="false">IF(C190="","",IFERROR(INDEX(Products!$C$7:$C$104,MATCH(C190,Products!$B$7:$B$104,0)),"Unknown SKU"))</f>
        <v/>
      </c>
      <c r="E190" s="31"/>
      <c r="F190" s="31"/>
      <c r="G190" s="32"/>
      <c r="H190" s="33" t="str">
        <f aca="false">IF(C190="","",IF(G190="",IFERROR(INDEX(Products!$G$7:$G$104,MATCH(C190,Products!$B$7:$B$104,0)),0),G190))</f>
        <v/>
      </c>
      <c r="I190" s="33" t="str">
        <f aca="false">IF(C190="","",E190*H190)</f>
        <v/>
      </c>
      <c r="J190" s="1"/>
    </row>
    <row r="191" customFormat="false" ht="21.75" hidden="false" customHeight="true" outlineLevel="0" collapsed="false">
      <c r="A191" s="1"/>
      <c r="B191" s="38"/>
      <c r="C191" s="31"/>
      <c r="D191" s="35" t="str">
        <f aca="false">IF(C191="","",IFERROR(INDEX(Products!$C$7:$C$104,MATCH(C191,Products!$B$7:$B$104,0)),"Unknown SKU"))</f>
        <v/>
      </c>
      <c r="E191" s="31"/>
      <c r="F191" s="31"/>
      <c r="G191" s="32"/>
      <c r="H191" s="33" t="str">
        <f aca="false">IF(C191="","",IF(G191="",IFERROR(INDEX(Products!$G$7:$G$104,MATCH(C191,Products!$B$7:$B$104,0)),0),G191))</f>
        <v/>
      </c>
      <c r="I191" s="33" t="str">
        <f aca="false">IF(C191="","",E191*H191)</f>
        <v/>
      </c>
      <c r="J191" s="1"/>
    </row>
    <row r="192" customFormat="false" ht="21.75" hidden="false" customHeight="true" outlineLevel="0" collapsed="false">
      <c r="A192" s="1"/>
      <c r="B192" s="38"/>
      <c r="C192" s="31"/>
      <c r="D192" s="35" t="str">
        <f aca="false">IF(C192="","",IFERROR(INDEX(Products!$C$7:$C$104,MATCH(C192,Products!$B$7:$B$104,0)),"Unknown SKU"))</f>
        <v/>
      </c>
      <c r="E192" s="31"/>
      <c r="F192" s="31"/>
      <c r="G192" s="32"/>
      <c r="H192" s="33" t="str">
        <f aca="false">IF(C192="","",IF(G192="",IFERROR(INDEX(Products!$G$7:$G$104,MATCH(C192,Products!$B$7:$B$104,0)),0),G192))</f>
        <v/>
      </c>
      <c r="I192" s="33" t="str">
        <f aca="false">IF(C192="","",E192*H192)</f>
        <v/>
      </c>
      <c r="J192" s="1"/>
    </row>
    <row r="193" customFormat="false" ht="21.75" hidden="false" customHeight="true" outlineLevel="0" collapsed="false">
      <c r="A193" s="1"/>
      <c r="B193" s="38"/>
      <c r="C193" s="31"/>
      <c r="D193" s="35" t="str">
        <f aca="false">IF(C193="","",IFERROR(INDEX(Products!$C$7:$C$104,MATCH(C193,Products!$B$7:$B$104,0)),"Unknown SKU"))</f>
        <v/>
      </c>
      <c r="E193" s="31"/>
      <c r="F193" s="31"/>
      <c r="G193" s="32"/>
      <c r="H193" s="33" t="str">
        <f aca="false">IF(C193="","",IF(G193="",IFERROR(INDEX(Products!$G$7:$G$104,MATCH(C193,Products!$B$7:$B$104,0)),0),G193))</f>
        <v/>
      </c>
      <c r="I193" s="33" t="str">
        <f aca="false">IF(C193="","",E193*H193)</f>
        <v/>
      </c>
      <c r="J193" s="1"/>
    </row>
    <row r="194" customFormat="false" ht="21.75" hidden="false" customHeight="true" outlineLevel="0" collapsed="false">
      <c r="A194" s="1"/>
      <c r="B194" s="38"/>
      <c r="C194" s="31"/>
      <c r="D194" s="35" t="str">
        <f aca="false">IF(C194="","",IFERROR(INDEX(Products!$C$7:$C$104,MATCH(C194,Products!$B$7:$B$104,0)),"Unknown SKU"))</f>
        <v/>
      </c>
      <c r="E194" s="31"/>
      <c r="F194" s="31"/>
      <c r="G194" s="32"/>
      <c r="H194" s="33" t="str">
        <f aca="false">IF(C194="","",IF(G194="",IFERROR(INDEX(Products!$G$7:$G$104,MATCH(C194,Products!$B$7:$B$104,0)),0),G194))</f>
        <v/>
      </c>
      <c r="I194" s="33" t="str">
        <f aca="false">IF(C194="","",E194*H194)</f>
        <v/>
      </c>
      <c r="J194" s="1"/>
    </row>
    <row r="195" customFormat="false" ht="21.75" hidden="false" customHeight="true" outlineLevel="0" collapsed="false">
      <c r="A195" s="1"/>
      <c r="B195" s="38"/>
      <c r="C195" s="31"/>
      <c r="D195" s="35" t="str">
        <f aca="false">IF(C195="","",IFERROR(INDEX(Products!$C$7:$C$104,MATCH(C195,Products!$B$7:$B$104,0)),"Unknown SKU"))</f>
        <v/>
      </c>
      <c r="E195" s="31"/>
      <c r="F195" s="31"/>
      <c r="G195" s="32"/>
      <c r="H195" s="33" t="str">
        <f aca="false">IF(C195="","",IF(G195="",IFERROR(INDEX(Products!$G$7:$G$104,MATCH(C195,Products!$B$7:$B$104,0)),0),G195))</f>
        <v/>
      </c>
      <c r="I195" s="33" t="str">
        <f aca="false">IF(C195="","",E195*H195)</f>
        <v/>
      </c>
      <c r="J195" s="1"/>
    </row>
    <row r="196" customFormat="false" ht="21.75" hidden="false" customHeight="true" outlineLevel="0" collapsed="false">
      <c r="A196" s="1"/>
      <c r="B196" s="38"/>
      <c r="C196" s="31"/>
      <c r="D196" s="35" t="str">
        <f aca="false">IF(C196="","",IFERROR(INDEX(Products!$C$7:$C$104,MATCH(C196,Products!$B$7:$B$104,0)),"Unknown SKU"))</f>
        <v/>
      </c>
      <c r="E196" s="31"/>
      <c r="F196" s="31"/>
      <c r="G196" s="32"/>
      <c r="H196" s="33" t="str">
        <f aca="false">IF(C196="","",IF(G196="",IFERROR(INDEX(Products!$G$7:$G$104,MATCH(C196,Products!$B$7:$B$104,0)),0),G196))</f>
        <v/>
      </c>
      <c r="I196" s="33" t="str">
        <f aca="false">IF(C196="","",E196*H196)</f>
        <v/>
      </c>
      <c r="J196" s="1"/>
    </row>
    <row r="197" customFormat="false" ht="21.75" hidden="false" customHeight="true" outlineLevel="0" collapsed="false">
      <c r="A197" s="1"/>
      <c r="B197" s="38"/>
      <c r="C197" s="31"/>
      <c r="D197" s="35" t="str">
        <f aca="false">IF(C197="","",IFERROR(INDEX(Products!$C$7:$C$104,MATCH(C197,Products!$B$7:$B$104,0)),"Unknown SKU"))</f>
        <v/>
      </c>
      <c r="E197" s="31"/>
      <c r="F197" s="31"/>
      <c r="G197" s="32"/>
      <c r="H197" s="33" t="str">
        <f aca="false">IF(C197="","",IF(G197="",IFERROR(INDEX(Products!$G$7:$G$104,MATCH(C197,Products!$B$7:$B$104,0)),0),G197))</f>
        <v/>
      </c>
      <c r="I197" s="33" t="str">
        <f aca="false">IF(C197="","",E197*H197)</f>
        <v/>
      </c>
      <c r="J197" s="1"/>
    </row>
    <row r="198" customFormat="false" ht="21.75" hidden="false" customHeight="true" outlineLevel="0" collapsed="false">
      <c r="A198" s="1"/>
      <c r="B198" s="38"/>
      <c r="C198" s="31"/>
      <c r="D198" s="35" t="str">
        <f aca="false">IF(C198="","",IFERROR(INDEX(Products!$C$7:$C$104,MATCH(C198,Products!$B$7:$B$104,0)),"Unknown SKU"))</f>
        <v/>
      </c>
      <c r="E198" s="31"/>
      <c r="F198" s="31"/>
      <c r="G198" s="32"/>
      <c r="H198" s="33" t="str">
        <f aca="false">IF(C198="","",IF(G198="",IFERROR(INDEX(Products!$G$7:$G$104,MATCH(C198,Products!$B$7:$B$104,0)),0),G198))</f>
        <v/>
      </c>
      <c r="I198" s="33" t="str">
        <f aca="false">IF(C198="","",E198*H198)</f>
        <v/>
      </c>
      <c r="J198" s="1"/>
    </row>
    <row r="199" customFormat="false" ht="21.75" hidden="false" customHeight="true" outlineLevel="0" collapsed="false">
      <c r="A199" s="1"/>
      <c r="B199" s="38"/>
      <c r="C199" s="31"/>
      <c r="D199" s="35" t="str">
        <f aca="false">IF(C199="","",IFERROR(INDEX(Products!$C$7:$C$104,MATCH(C199,Products!$B$7:$B$104,0)),"Unknown SKU"))</f>
        <v/>
      </c>
      <c r="E199" s="31"/>
      <c r="F199" s="31"/>
      <c r="G199" s="32"/>
      <c r="H199" s="33" t="str">
        <f aca="false">IF(C199="","",IF(G199="",IFERROR(INDEX(Products!$G$7:$G$104,MATCH(C199,Products!$B$7:$B$104,0)),0),G199))</f>
        <v/>
      </c>
      <c r="I199" s="33" t="str">
        <f aca="false">IF(C199="","",E199*H199)</f>
        <v/>
      </c>
      <c r="J199" s="1"/>
    </row>
    <row r="200" customFormat="false" ht="21.75" hidden="false" customHeight="true" outlineLevel="0" collapsed="false">
      <c r="A200" s="1"/>
      <c r="B200" s="38"/>
      <c r="C200" s="31"/>
      <c r="D200" s="35" t="str">
        <f aca="false">IF(C200="","",IFERROR(INDEX(Products!$C$7:$C$104,MATCH(C200,Products!$B$7:$B$104,0)),"Unknown SKU"))</f>
        <v/>
      </c>
      <c r="E200" s="31"/>
      <c r="F200" s="31"/>
      <c r="G200" s="32"/>
      <c r="H200" s="33" t="str">
        <f aca="false">IF(C200="","",IF(G200="",IFERROR(INDEX(Products!$G$7:$G$104,MATCH(C200,Products!$B$7:$B$104,0)),0),G200))</f>
        <v/>
      </c>
      <c r="I200" s="33" t="str">
        <f aca="false">IF(C200="","",E200*H200)</f>
        <v/>
      </c>
      <c r="J200" s="1"/>
    </row>
    <row r="201" customFormat="false" ht="21.75" hidden="false" customHeight="true" outlineLevel="0" collapsed="false">
      <c r="A201" s="1"/>
      <c r="B201" s="38"/>
      <c r="C201" s="31"/>
      <c r="D201" s="35" t="str">
        <f aca="false">IF(C201="","",IFERROR(INDEX(Products!$C$7:$C$104,MATCH(C201,Products!$B$7:$B$104,0)),"Unknown SKU"))</f>
        <v/>
      </c>
      <c r="E201" s="31"/>
      <c r="F201" s="31"/>
      <c r="G201" s="32"/>
      <c r="H201" s="33" t="str">
        <f aca="false">IF(C201="","",IF(G201="",IFERROR(INDEX(Products!$G$7:$G$104,MATCH(C201,Products!$B$7:$B$104,0)),0),G201))</f>
        <v/>
      </c>
      <c r="I201" s="33" t="str">
        <f aca="false">IF(C201="","",E201*H201)</f>
        <v/>
      </c>
      <c r="J201" s="1"/>
    </row>
    <row r="202" customFormat="false" ht="21.75" hidden="false" customHeight="true" outlineLevel="0" collapsed="false">
      <c r="A202" s="1"/>
      <c r="B202" s="38"/>
      <c r="C202" s="31"/>
      <c r="D202" s="35" t="str">
        <f aca="false">IF(C202="","",IFERROR(INDEX(Products!$C$7:$C$104,MATCH(C202,Products!$B$7:$B$104,0)),"Unknown SKU"))</f>
        <v/>
      </c>
      <c r="E202" s="31"/>
      <c r="F202" s="31"/>
      <c r="G202" s="32"/>
      <c r="H202" s="33" t="str">
        <f aca="false">IF(C202="","",IF(G202="",IFERROR(INDEX(Products!$G$7:$G$104,MATCH(C202,Products!$B$7:$B$104,0)),0),G202))</f>
        <v/>
      </c>
      <c r="I202" s="33" t="str">
        <f aca="false">IF(C202="","",E202*H202)</f>
        <v/>
      </c>
      <c r="J202" s="1"/>
    </row>
    <row r="203" customFormat="false" ht="21.75" hidden="false" customHeight="true" outlineLevel="0" collapsed="false">
      <c r="A203" s="1"/>
      <c r="B203" s="38"/>
      <c r="C203" s="31"/>
      <c r="D203" s="35" t="str">
        <f aca="false">IF(C203="","",IFERROR(INDEX(Products!$C$7:$C$104,MATCH(C203,Products!$B$7:$B$104,0)),"Unknown SKU"))</f>
        <v/>
      </c>
      <c r="E203" s="31"/>
      <c r="F203" s="31"/>
      <c r="G203" s="32"/>
      <c r="H203" s="33" t="str">
        <f aca="false">IF(C203="","",IF(G203="",IFERROR(INDEX(Products!$G$7:$G$104,MATCH(C203,Products!$B$7:$B$104,0)),0),G203))</f>
        <v/>
      </c>
      <c r="I203" s="33" t="str">
        <f aca="false">IF(C203="","",E203*H203)</f>
        <v/>
      </c>
      <c r="J203" s="1"/>
    </row>
    <row r="204" customFormat="false" ht="21.75" hidden="false" customHeight="true" outlineLevel="0" collapsed="false">
      <c r="A204" s="1"/>
      <c r="B204" s="38"/>
      <c r="C204" s="31"/>
      <c r="D204" s="35" t="str">
        <f aca="false">IF(C204="","",IFERROR(INDEX(Products!$C$7:$C$104,MATCH(C204,Products!$B$7:$B$104,0)),"Unknown SKU"))</f>
        <v/>
      </c>
      <c r="E204" s="31"/>
      <c r="F204" s="31"/>
      <c r="G204" s="32"/>
      <c r="H204" s="33" t="str">
        <f aca="false">IF(C204="","",IF(G204="",IFERROR(INDEX(Products!$G$7:$G$104,MATCH(C204,Products!$B$7:$B$104,0)),0),G204))</f>
        <v/>
      </c>
      <c r="I204" s="33" t="str">
        <f aca="false">IF(C204="","",E204*H204)</f>
        <v/>
      </c>
      <c r="J204" s="1"/>
    </row>
    <row r="205" customFormat="false" ht="21.75" hidden="false" customHeight="true" outlineLevel="0" collapsed="false">
      <c r="A205" s="1"/>
      <c r="B205" s="38"/>
      <c r="C205" s="31"/>
      <c r="D205" s="35" t="str">
        <f aca="false">IF(C205="","",IFERROR(INDEX(Products!$C$7:$C$104,MATCH(C205,Products!$B$7:$B$104,0)),"Unknown SKU"))</f>
        <v/>
      </c>
      <c r="E205" s="31"/>
      <c r="F205" s="31"/>
      <c r="G205" s="32"/>
      <c r="H205" s="33" t="str">
        <f aca="false">IF(C205="","",IF(G205="",IFERROR(INDEX(Products!$G$7:$G$104,MATCH(C205,Products!$B$7:$B$104,0)),0),G205))</f>
        <v/>
      </c>
      <c r="I205" s="33" t="str">
        <f aca="false">IF(C205="","",E205*H205)</f>
        <v/>
      </c>
      <c r="J205" s="1"/>
    </row>
    <row r="206" customFormat="false" ht="21.75" hidden="false" customHeight="true" outlineLevel="0" collapsed="false">
      <c r="A206" s="1"/>
      <c r="B206" s="38"/>
      <c r="C206" s="31"/>
      <c r="D206" s="35" t="str">
        <f aca="false">IF(C206="","",IFERROR(INDEX(Products!$C$7:$C$104,MATCH(C206,Products!$B$7:$B$104,0)),"Unknown SKU"))</f>
        <v/>
      </c>
      <c r="E206" s="31"/>
      <c r="F206" s="31"/>
      <c r="G206" s="32"/>
      <c r="H206" s="33" t="str">
        <f aca="false">IF(C206="","",IF(G206="",IFERROR(INDEX(Products!$G$7:$G$104,MATCH(C206,Products!$B$7:$B$104,0)),0),G206))</f>
        <v/>
      </c>
      <c r="I206" s="33" t="str">
        <f aca="false">IF(C206="","",E206*H206)</f>
        <v/>
      </c>
      <c r="J206" s="1"/>
    </row>
    <row r="207" customFormat="false" ht="21.75" hidden="false" customHeight="true" outlineLevel="0" collapsed="false">
      <c r="A207" s="1"/>
      <c r="B207" s="38"/>
      <c r="C207" s="31"/>
      <c r="D207" s="35" t="str">
        <f aca="false">IF(C207="","",IFERROR(INDEX(Products!$C$7:$C$104,MATCH(C207,Products!$B$7:$B$104,0)),"Unknown SKU"))</f>
        <v/>
      </c>
      <c r="E207" s="31"/>
      <c r="F207" s="31"/>
      <c r="G207" s="32"/>
      <c r="H207" s="33" t="str">
        <f aca="false">IF(C207="","",IF(G207="",IFERROR(INDEX(Products!$G$7:$G$104,MATCH(C207,Products!$B$7:$B$104,0)),0),G207))</f>
        <v/>
      </c>
      <c r="I207" s="33" t="str">
        <f aca="false">IF(C207="","",E207*H207)</f>
        <v/>
      </c>
      <c r="J207" s="1"/>
    </row>
    <row r="208" customFormat="false" ht="21.75" hidden="false" customHeight="true" outlineLevel="0" collapsed="false">
      <c r="A208" s="1"/>
      <c r="B208" s="38"/>
      <c r="C208" s="31"/>
      <c r="D208" s="35" t="str">
        <f aca="false">IF(C208="","",IFERROR(INDEX(Products!$C$7:$C$104,MATCH(C208,Products!$B$7:$B$104,0)),"Unknown SKU"))</f>
        <v/>
      </c>
      <c r="E208" s="31"/>
      <c r="F208" s="31"/>
      <c r="G208" s="32"/>
      <c r="H208" s="33" t="str">
        <f aca="false">IF(C208="","",IF(G208="",IFERROR(INDEX(Products!$G$7:$G$104,MATCH(C208,Products!$B$7:$B$104,0)),0),G208))</f>
        <v/>
      </c>
      <c r="I208" s="33" t="str">
        <f aca="false">IF(C208="","",E208*H208)</f>
        <v/>
      </c>
      <c r="J208" s="1"/>
    </row>
    <row r="209" customFormat="false" ht="21.75" hidden="false" customHeight="true" outlineLevel="0" collapsed="false">
      <c r="A209" s="1"/>
      <c r="B209" s="38"/>
      <c r="C209" s="31"/>
      <c r="D209" s="35" t="str">
        <f aca="false">IF(C209="","",IFERROR(INDEX(Products!$C$7:$C$104,MATCH(C209,Products!$B$7:$B$104,0)),"Unknown SKU"))</f>
        <v/>
      </c>
      <c r="E209" s="31"/>
      <c r="F209" s="31"/>
      <c r="G209" s="32"/>
      <c r="H209" s="33" t="str">
        <f aca="false">IF(C209="","",IF(G209="",IFERROR(INDEX(Products!$G$7:$G$104,MATCH(C209,Products!$B$7:$B$104,0)),0),G209))</f>
        <v/>
      </c>
      <c r="I209" s="33" t="str">
        <f aca="false">IF(C209="","",E209*H209)</f>
        <v/>
      </c>
      <c r="J209" s="1"/>
    </row>
    <row r="210" customFormat="false" ht="21.75" hidden="false" customHeight="true" outlineLevel="0" collapsed="false">
      <c r="A210" s="1"/>
      <c r="B210" s="38"/>
      <c r="C210" s="31"/>
      <c r="D210" s="35" t="str">
        <f aca="false">IF(C210="","",IFERROR(INDEX(Products!$C$7:$C$104,MATCH(C210,Products!$B$7:$B$104,0)),"Unknown SKU"))</f>
        <v/>
      </c>
      <c r="E210" s="31"/>
      <c r="F210" s="31"/>
      <c r="G210" s="32"/>
      <c r="H210" s="33" t="str">
        <f aca="false">IF(C210="","",IF(G210="",IFERROR(INDEX(Products!$G$7:$G$104,MATCH(C210,Products!$B$7:$B$104,0)),0),G210))</f>
        <v/>
      </c>
      <c r="I210" s="33" t="str">
        <f aca="false">IF(C210="","",E210*H210)</f>
        <v/>
      </c>
      <c r="J210" s="1"/>
    </row>
    <row r="211" customFormat="false" ht="21.75" hidden="false" customHeight="true" outlineLevel="0" collapsed="false">
      <c r="A211" s="1"/>
      <c r="B211" s="38"/>
      <c r="C211" s="31"/>
      <c r="D211" s="35" t="str">
        <f aca="false">IF(C211="","",IFERROR(INDEX(Products!$C$7:$C$104,MATCH(C211,Products!$B$7:$B$104,0)),"Unknown SKU"))</f>
        <v/>
      </c>
      <c r="E211" s="31"/>
      <c r="F211" s="31"/>
      <c r="G211" s="32"/>
      <c r="H211" s="33" t="str">
        <f aca="false">IF(C211="","",IF(G211="",IFERROR(INDEX(Products!$G$7:$G$104,MATCH(C211,Products!$B$7:$B$104,0)),0),G211))</f>
        <v/>
      </c>
      <c r="I211" s="33" t="str">
        <f aca="false">IF(C211="","",E211*H211)</f>
        <v/>
      </c>
      <c r="J211" s="1"/>
    </row>
    <row r="212" customFormat="false" ht="21.75" hidden="false" customHeight="true" outlineLevel="0" collapsed="false">
      <c r="A212" s="1"/>
      <c r="B212" s="38"/>
      <c r="C212" s="31"/>
      <c r="D212" s="35" t="str">
        <f aca="false">IF(C212="","",IFERROR(INDEX(Products!$C$7:$C$104,MATCH(C212,Products!$B$7:$B$104,0)),"Unknown SKU"))</f>
        <v/>
      </c>
      <c r="E212" s="31"/>
      <c r="F212" s="31"/>
      <c r="G212" s="32"/>
      <c r="H212" s="33" t="str">
        <f aca="false">IF(C212="","",IF(G212="",IFERROR(INDEX(Products!$G$7:$G$104,MATCH(C212,Products!$B$7:$B$104,0)),0),G212))</f>
        <v/>
      </c>
      <c r="I212" s="33" t="str">
        <f aca="false">IF(C212="","",E212*H212)</f>
        <v/>
      </c>
      <c r="J212" s="1"/>
    </row>
    <row r="213" customFormat="false" ht="21.75" hidden="false" customHeight="true" outlineLevel="0" collapsed="false">
      <c r="A213" s="1"/>
      <c r="B213" s="38"/>
      <c r="C213" s="31"/>
      <c r="D213" s="35" t="str">
        <f aca="false">IF(C213="","",IFERROR(INDEX(Products!$C$7:$C$104,MATCH(C213,Products!$B$7:$B$104,0)),"Unknown SKU"))</f>
        <v/>
      </c>
      <c r="E213" s="31"/>
      <c r="F213" s="31"/>
      <c r="G213" s="32"/>
      <c r="H213" s="33" t="str">
        <f aca="false">IF(C213="","",IF(G213="",IFERROR(INDEX(Products!$G$7:$G$104,MATCH(C213,Products!$B$7:$B$104,0)),0),G213))</f>
        <v/>
      </c>
      <c r="I213" s="33" t="str">
        <f aca="false">IF(C213="","",E213*H213)</f>
        <v/>
      </c>
      <c r="J213" s="1"/>
    </row>
    <row r="214" customFormat="false" ht="21.75" hidden="false" customHeight="true" outlineLevel="0" collapsed="false">
      <c r="A214" s="1"/>
      <c r="B214" s="38"/>
      <c r="C214" s="31"/>
      <c r="D214" s="35" t="str">
        <f aca="false">IF(C214="","",IFERROR(INDEX(Products!$C$7:$C$104,MATCH(C214,Products!$B$7:$B$104,0)),"Unknown SKU"))</f>
        <v/>
      </c>
      <c r="E214" s="31"/>
      <c r="F214" s="31"/>
      <c r="G214" s="32"/>
      <c r="H214" s="33" t="str">
        <f aca="false">IF(C214="","",IF(G214="",IFERROR(INDEX(Products!$G$7:$G$104,MATCH(C214,Products!$B$7:$B$104,0)),0),G214))</f>
        <v/>
      </c>
      <c r="I214" s="33" t="str">
        <f aca="false">IF(C214="","",E214*H214)</f>
        <v/>
      </c>
      <c r="J214" s="1"/>
    </row>
    <row r="215" customFormat="false" ht="21.75" hidden="false" customHeight="true" outlineLevel="0" collapsed="false">
      <c r="A215" s="1"/>
      <c r="B215" s="38"/>
      <c r="C215" s="31"/>
      <c r="D215" s="35" t="str">
        <f aca="false">IF(C215="","",IFERROR(INDEX(Products!$C$7:$C$104,MATCH(C215,Products!$B$7:$B$104,0)),"Unknown SKU"))</f>
        <v/>
      </c>
      <c r="E215" s="31"/>
      <c r="F215" s="31"/>
      <c r="G215" s="32"/>
      <c r="H215" s="33" t="str">
        <f aca="false">IF(C215="","",IF(G215="",IFERROR(INDEX(Products!$G$7:$G$104,MATCH(C215,Products!$B$7:$B$104,0)),0),G215))</f>
        <v/>
      </c>
      <c r="I215" s="33" t="str">
        <f aca="false">IF(C215="","",E215*H215)</f>
        <v/>
      </c>
      <c r="J215" s="1"/>
    </row>
    <row r="216" customFormat="false" ht="21.75" hidden="false" customHeight="true" outlineLevel="0" collapsed="false">
      <c r="A216" s="1"/>
      <c r="B216" s="38"/>
      <c r="C216" s="31"/>
      <c r="D216" s="35" t="str">
        <f aca="false">IF(C216="","",IFERROR(INDEX(Products!$C$7:$C$104,MATCH(C216,Products!$B$7:$B$104,0)),"Unknown SKU"))</f>
        <v/>
      </c>
      <c r="E216" s="31"/>
      <c r="F216" s="31"/>
      <c r="G216" s="32"/>
      <c r="H216" s="33" t="str">
        <f aca="false">IF(C216="","",IF(G216="",IFERROR(INDEX(Products!$G$7:$G$104,MATCH(C216,Products!$B$7:$B$104,0)),0),G216))</f>
        <v/>
      </c>
      <c r="I216" s="33" t="str">
        <f aca="false">IF(C216="","",E216*H216)</f>
        <v/>
      </c>
      <c r="J216" s="1"/>
    </row>
    <row r="217" customFormat="false" ht="21.75" hidden="false" customHeight="true" outlineLevel="0" collapsed="false">
      <c r="A217" s="1"/>
      <c r="B217" s="38"/>
      <c r="C217" s="31"/>
      <c r="D217" s="35" t="str">
        <f aca="false">IF(C217="","",IFERROR(INDEX(Products!$C$7:$C$104,MATCH(C217,Products!$B$7:$B$104,0)),"Unknown SKU"))</f>
        <v/>
      </c>
      <c r="E217" s="31"/>
      <c r="F217" s="31"/>
      <c r="G217" s="32"/>
      <c r="H217" s="33" t="str">
        <f aca="false">IF(C217="","",IF(G217="",IFERROR(INDEX(Products!$G$7:$G$104,MATCH(C217,Products!$B$7:$B$104,0)),0),G217))</f>
        <v/>
      </c>
      <c r="I217" s="33" t="str">
        <f aca="false">IF(C217="","",E217*H217)</f>
        <v/>
      </c>
      <c r="J217" s="1"/>
    </row>
    <row r="218" customFormat="false" ht="21.75" hidden="false" customHeight="true" outlineLevel="0" collapsed="false">
      <c r="A218" s="1"/>
      <c r="B218" s="38"/>
      <c r="C218" s="31"/>
      <c r="D218" s="35" t="str">
        <f aca="false">IF(C218="","",IFERROR(INDEX(Products!$C$7:$C$104,MATCH(C218,Products!$B$7:$B$104,0)),"Unknown SKU"))</f>
        <v/>
      </c>
      <c r="E218" s="31"/>
      <c r="F218" s="31"/>
      <c r="G218" s="32"/>
      <c r="H218" s="33" t="str">
        <f aca="false">IF(C218="","",IF(G218="",IFERROR(INDEX(Products!$G$7:$G$104,MATCH(C218,Products!$B$7:$B$104,0)),0),G218))</f>
        <v/>
      </c>
      <c r="I218" s="33" t="str">
        <f aca="false">IF(C218="","",E218*H218)</f>
        <v/>
      </c>
      <c r="J218" s="1"/>
    </row>
    <row r="219" customFormat="false" ht="21.75" hidden="false" customHeight="true" outlineLevel="0" collapsed="false">
      <c r="A219" s="1"/>
      <c r="B219" s="38"/>
      <c r="C219" s="31"/>
      <c r="D219" s="35" t="str">
        <f aca="false">IF(C219="","",IFERROR(INDEX(Products!$C$7:$C$104,MATCH(C219,Products!$B$7:$B$104,0)),"Unknown SKU"))</f>
        <v/>
      </c>
      <c r="E219" s="31"/>
      <c r="F219" s="31"/>
      <c r="G219" s="32"/>
      <c r="H219" s="33" t="str">
        <f aca="false">IF(C219="","",IF(G219="",IFERROR(INDEX(Products!$G$7:$G$104,MATCH(C219,Products!$B$7:$B$104,0)),0),G219))</f>
        <v/>
      </c>
      <c r="I219" s="33" t="str">
        <f aca="false">IF(C219="","",E219*H219)</f>
        <v/>
      </c>
      <c r="J219" s="1"/>
    </row>
    <row r="220" customFormat="false" ht="21.75" hidden="false" customHeight="true" outlineLevel="0" collapsed="false">
      <c r="A220" s="1"/>
      <c r="B220" s="38"/>
      <c r="C220" s="31"/>
      <c r="D220" s="35" t="str">
        <f aca="false">IF(C220="","",IFERROR(INDEX(Products!$C$7:$C$104,MATCH(C220,Products!$B$7:$B$104,0)),"Unknown SKU"))</f>
        <v/>
      </c>
      <c r="E220" s="31"/>
      <c r="F220" s="31"/>
      <c r="G220" s="32"/>
      <c r="H220" s="33" t="str">
        <f aca="false">IF(C220="","",IF(G220="",IFERROR(INDEX(Products!$G$7:$G$104,MATCH(C220,Products!$B$7:$B$104,0)),0),G220))</f>
        <v/>
      </c>
      <c r="I220" s="33" t="str">
        <f aca="false">IF(C220="","",E220*H220)</f>
        <v/>
      </c>
      <c r="J220" s="1"/>
    </row>
    <row r="221" customFormat="false" ht="21.75" hidden="false" customHeight="true" outlineLevel="0" collapsed="false">
      <c r="A221" s="1"/>
      <c r="B221" s="38"/>
      <c r="C221" s="31"/>
      <c r="D221" s="35" t="str">
        <f aca="false">IF(C221="","",IFERROR(INDEX(Products!$C$7:$C$104,MATCH(C221,Products!$B$7:$B$104,0)),"Unknown SKU"))</f>
        <v/>
      </c>
      <c r="E221" s="31"/>
      <c r="F221" s="31"/>
      <c r="G221" s="32"/>
      <c r="H221" s="33" t="str">
        <f aca="false">IF(C221="","",IF(G221="",IFERROR(INDEX(Products!$G$7:$G$104,MATCH(C221,Products!$B$7:$B$104,0)),0),G221))</f>
        <v/>
      </c>
      <c r="I221" s="33" t="str">
        <f aca="false">IF(C221="","",E221*H221)</f>
        <v/>
      </c>
      <c r="J221" s="1"/>
    </row>
    <row r="222" customFormat="false" ht="21.75" hidden="false" customHeight="true" outlineLevel="0" collapsed="false">
      <c r="A222" s="1"/>
      <c r="B222" s="38"/>
      <c r="C222" s="31"/>
      <c r="D222" s="35" t="str">
        <f aca="false">IF(C222="","",IFERROR(INDEX(Products!$C$7:$C$104,MATCH(C222,Products!$B$7:$B$104,0)),"Unknown SKU"))</f>
        <v/>
      </c>
      <c r="E222" s="31"/>
      <c r="F222" s="31"/>
      <c r="G222" s="32"/>
      <c r="H222" s="33" t="str">
        <f aca="false">IF(C222="","",IF(G222="",IFERROR(INDEX(Products!$G$7:$G$104,MATCH(C222,Products!$B$7:$B$104,0)),0),G222))</f>
        <v/>
      </c>
      <c r="I222" s="33" t="str">
        <f aca="false">IF(C222="","",E222*H222)</f>
        <v/>
      </c>
      <c r="J222" s="1"/>
    </row>
    <row r="223" customFormat="false" ht="21.75" hidden="false" customHeight="true" outlineLevel="0" collapsed="false">
      <c r="A223" s="1"/>
      <c r="B223" s="38"/>
      <c r="C223" s="31"/>
      <c r="D223" s="35" t="str">
        <f aca="false">IF(C223="","",IFERROR(INDEX(Products!$C$7:$C$104,MATCH(C223,Products!$B$7:$B$104,0)),"Unknown SKU"))</f>
        <v/>
      </c>
      <c r="E223" s="31"/>
      <c r="F223" s="31"/>
      <c r="G223" s="32"/>
      <c r="H223" s="33" t="str">
        <f aca="false">IF(C223="","",IF(G223="",IFERROR(INDEX(Products!$G$7:$G$104,MATCH(C223,Products!$B$7:$B$104,0)),0),G223))</f>
        <v/>
      </c>
      <c r="I223" s="33" t="str">
        <f aca="false">IF(C223="","",E223*H223)</f>
        <v/>
      </c>
      <c r="J223" s="1"/>
    </row>
    <row r="224" customFormat="false" ht="21.75" hidden="false" customHeight="true" outlineLevel="0" collapsed="false">
      <c r="A224" s="1"/>
      <c r="B224" s="38"/>
      <c r="C224" s="31"/>
      <c r="D224" s="35" t="str">
        <f aca="false">IF(C224="","",IFERROR(INDEX(Products!$C$7:$C$104,MATCH(C224,Products!$B$7:$B$104,0)),"Unknown SKU"))</f>
        <v/>
      </c>
      <c r="E224" s="31"/>
      <c r="F224" s="31"/>
      <c r="G224" s="32"/>
      <c r="H224" s="33" t="str">
        <f aca="false">IF(C224="","",IF(G224="",IFERROR(INDEX(Products!$G$7:$G$104,MATCH(C224,Products!$B$7:$B$104,0)),0),G224))</f>
        <v/>
      </c>
      <c r="I224" s="33" t="str">
        <f aca="false">IF(C224="","",E224*H224)</f>
        <v/>
      </c>
      <c r="J224" s="1"/>
    </row>
    <row r="225" customFormat="false" ht="21.75" hidden="false" customHeight="true" outlineLevel="0" collapsed="false">
      <c r="A225" s="1"/>
      <c r="B225" s="38"/>
      <c r="C225" s="31"/>
      <c r="D225" s="35" t="str">
        <f aca="false">IF(C225="","",IFERROR(INDEX(Products!$C$7:$C$104,MATCH(C225,Products!$B$7:$B$104,0)),"Unknown SKU"))</f>
        <v/>
      </c>
      <c r="E225" s="31"/>
      <c r="F225" s="31"/>
      <c r="G225" s="32"/>
      <c r="H225" s="33" t="str">
        <f aca="false">IF(C225="","",IF(G225="",IFERROR(INDEX(Products!$G$7:$G$104,MATCH(C225,Products!$B$7:$B$104,0)),0),G225))</f>
        <v/>
      </c>
      <c r="I225" s="33" t="str">
        <f aca="false">IF(C225="","",E225*H225)</f>
        <v/>
      </c>
      <c r="J225" s="1"/>
    </row>
    <row r="226" customFormat="false" ht="21.75" hidden="false" customHeight="true" outlineLevel="0" collapsed="false">
      <c r="A226" s="1"/>
      <c r="B226" s="38"/>
      <c r="C226" s="31"/>
      <c r="D226" s="35" t="str">
        <f aca="false">IF(C226="","",IFERROR(INDEX(Products!$C$7:$C$104,MATCH(C226,Products!$B$7:$B$104,0)),"Unknown SKU"))</f>
        <v/>
      </c>
      <c r="E226" s="31"/>
      <c r="F226" s="31"/>
      <c r="G226" s="32"/>
      <c r="H226" s="33" t="str">
        <f aca="false">IF(C226="","",IF(G226="",IFERROR(INDEX(Products!$G$7:$G$104,MATCH(C226,Products!$B$7:$B$104,0)),0),G226))</f>
        <v/>
      </c>
      <c r="I226" s="33" t="str">
        <f aca="false">IF(C226="","",E226*H226)</f>
        <v/>
      </c>
      <c r="J226" s="1"/>
    </row>
    <row r="227" customFormat="false" ht="21.75" hidden="false" customHeight="true" outlineLevel="0" collapsed="false">
      <c r="A227" s="1"/>
      <c r="B227" s="38"/>
      <c r="C227" s="31"/>
      <c r="D227" s="35" t="str">
        <f aca="false">IF(C227="","",IFERROR(INDEX(Products!$C$7:$C$104,MATCH(C227,Products!$B$7:$B$104,0)),"Unknown SKU"))</f>
        <v/>
      </c>
      <c r="E227" s="31"/>
      <c r="F227" s="31"/>
      <c r="G227" s="32"/>
      <c r="H227" s="33" t="str">
        <f aca="false">IF(C227="","",IF(G227="",IFERROR(INDEX(Products!$G$7:$G$104,MATCH(C227,Products!$B$7:$B$104,0)),0),G227))</f>
        <v/>
      </c>
      <c r="I227" s="33" t="str">
        <f aca="false">IF(C227="","",E227*H227)</f>
        <v/>
      </c>
      <c r="J227" s="1"/>
    </row>
    <row r="228" customFormat="false" ht="21.75" hidden="false" customHeight="true" outlineLevel="0" collapsed="false">
      <c r="A228" s="1"/>
      <c r="B228" s="38"/>
      <c r="C228" s="31"/>
      <c r="D228" s="35" t="str">
        <f aca="false">IF(C228="","",IFERROR(INDEX(Products!$C$7:$C$104,MATCH(C228,Products!$B$7:$B$104,0)),"Unknown SKU"))</f>
        <v/>
      </c>
      <c r="E228" s="31"/>
      <c r="F228" s="31"/>
      <c r="G228" s="32"/>
      <c r="H228" s="33" t="str">
        <f aca="false">IF(C228="","",IF(G228="",IFERROR(INDEX(Products!$G$7:$G$104,MATCH(C228,Products!$B$7:$B$104,0)),0),G228))</f>
        <v/>
      </c>
      <c r="I228" s="33" t="str">
        <f aca="false">IF(C228="","",E228*H228)</f>
        <v/>
      </c>
      <c r="J228" s="1"/>
    </row>
    <row r="229" customFormat="false" ht="21.75" hidden="false" customHeight="true" outlineLevel="0" collapsed="false">
      <c r="A229" s="1"/>
      <c r="B229" s="38"/>
      <c r="C229" s="31"/>
      <c r="D229" s="35" t="str">
        <f aca="false">IF(C229="","",IFERROR(INDEX(Products!$C$7:$C$104,MATCH(C229,Products!$B$7:$B$104,0)),"Unknown SKU"))</f>
        <v/>
      </c>
      <c r="E229" s="31"/>
      <c r="F229" s="31"/>
      <c r="G229" s="32"/>
      <c r="H229" s="33" t="str">
        <f aca="false">IF(C229="","",IF(G229="",IFERROR(INDEX(Products!$G$7:$G$104,MATCH(C229,Products!$B$7:$B$104,0)),0),G229))</f>
        <v/>
      </c>
      <c r="I229" s="33" t="str">
        <f aca="false">IF(C229="","",E229*H229)</f>
        <v/>
      </c>
      <c r="J229" s="1"/>
    </row>
    <row r="230" customFormat="false" ht="21.75" hidden="false" customHeight="true" outlineLevel="0" collapsed="false">
      <c r="A230" s="1"/>
      <c r="B230" s="38"/>
      <c r="C230" s="31"/>
      <c r="D230" s="35" t="str">
        <f aca="false">IF(C230="","",IFERROR(INDEX(Products!$C$7:$C$104,MATCH(C230,Products!$B$7:$B$104,0)),"Unknown SKU"))</f>
        <v/>
      </c>
      <c r="E230" s="31"/>
      <c r="F230" s="31"/>
      <c r="G230" s="32"/>
      <c r="H230" s="33" t="str">
        <f aca="false">IF(C230="","",IF(G230="",IFERROR(INDEX(Products!$G$7:$G$104,MATCH(C230,Products!$B$7:$B$104,0)),0),G230))</f>
        <v/>
      </c>
      <c r="I230" s="33" t="str">
        <f aca="false">IF(C230="","",E230*H230)</f>
        <v/>
      </c>
      <c r="J230" s="1"/>
    </row>
    <row r="231" customFormat="false" ht="21.75" hidden="false" customHeight="true" outlineLevel="0" collapsed="false">
      <c r="A231" s="1"/>
      <c r="B231" s="38"/>
      <c r="C231" s="31"/>
      <c r="D231" s="35" t="str">
        <f aca="false">IF(C231="","",IFERROR(INDEX(Products!$C$7:$C$104,MATCH(C231,Products!$B$7:$B$104,0)),"Unknown SKU"))</f>
        <v/>
      </c>
      <c r="E231" s="31"/>
      <c r="F231" s="31"/>
      <c r="G231" s="32"/>
      <c r="H231" s="33" t="str">
        <f aca="false">IF(C231="","",IF(G231="",IFERROR(INDEX(Products!$G$7:$G$104,MATCH(C231,Products!$B$7:$B$104,0)),0),G231))</f>
        <v/>
      </c>
      <c r="I231" s="33" t="str">
        <f aca="false">IF(C231="","",E231*H231)</f>
        <v/>
      </c>
      <c r="J231" s="1"/>
    </row>
    <row r="232" customFormat="false" ht="21.75" hidden="false" customHeight="true" outlineLevel="0" collapsed="false">
      <c r="A232" s="1"/>
      <c r="B232" s="38"/>
      <c r="C232" s="31"/>
      <c r="D232" s="35" t="str">
        <f aca="false">IF(C232="","",IFERROR(INDEX(Products!$C$7:$C$104,MATCH(C232,Products!$B$7:$B$104,0)),"Unknown SKU"))</f>
        <v/>
      </c>
      <c r="E232" s="31"/>
      <c r="F232" s="31"/>
      <c r="G232" s="32"/>
      <c r="H232" s="33" t="str">
        <f aca="false">IF(C232="","",IF(G232="",IFERROR(INDEX(Products!$G$7:$G$104,MATCH(C232,Products!$B$7:$B$104,0)),0),G232))</f>
        <v/>
      </c>
      <c r="I232" s="33" t="str">
        <f aca="false">IF(C232="","",E232*H232)</f>
        <v/>
      </c>
      <c r="J232" s="1"/>
    </row>
    <row r="233" customFormat="false" ht="21.75" hidden="false" customHeight="true" outlineLevel="0" collapsed="false">
      <c r="A233" s="1"/>
      <c r="B233" s="38"/>
      <c r="C233" s="31"/>
      <c r="D233" s="35" t="str">
        <f aca="false">IF(C233="","",IFERROR(INDEX(Products!$C$7:$C$104,MATCH(C233,Products!$B$7:$B$104,0)),"Unknown SKU"))</f>
        <v/>
      </c>
      <c r="E233" s="31"/>
      <c r="F233" s="31"/>
      <c r="G233" s="32"/>
      <c r="H233" s="33" t="str">
        <f aca="false">IF(C233="","",IF(G233="",IFERROR(INDEX(Products!$G$7:$G$104,MATCH(C233,Products!$B$7:$B$104,0)),0),G233))</f>
        <v/>
      </c>
      <c r="I233" s="33" t="str">
        <f aca="false">IF(C233="","",E233*H233)</f>
        <v/>
      </c>
      <c r="J233" s="1"/>
    </row>
    <row r="234" customFormat="false" ht="21.75" hidden="false" customHeight="true" outlineLevel="0" collapsed="false">
      <c r="A234" s="1"/>
      <c r="B234" s="38"/>
      <c r="C234" s="31"/>
      <c r="D234" s="35" t="str">
        <f aca="false">IF(C234="","",IFERROR(INDEX(Products!$C$7:$C$104,MATCH(C234,Products!$B$7:$B$104,0)),"Unknown SKU"))</f>
        <v/>
      </c>
      <c r="E234" s="31"/>
      <c r="F234" s="31"/>
      <c r="G234" s="32"/>
      <c r="H234" s="33" t="str">
        <f aca="false">IF(C234="","",IF(G234="",IFERROR(INDEX(Products!$G$7:$G$104,MATCH(C234,Products!$B$7:$B$104,0)),0),G234))</f>
        <v/>
      </c>
      <c r="I234" s="33" t="str">
        <f aca="false">IF(C234="","",E234*H234)</f>
        <v/>
      </c>
      <c r="J234" s="1"/>
    </row>
    <row r="235" customFormat="false" ht="21.75" hidden="false" customHeight="true" outlineLevel="0" collapsed="false">
      <c r="A235" s="1"/>
      <c r="B235" s="38"/>
      <c r="C235" s="31"/>
      <c r="D235" s="35" t="str">
        <f aca="false">IF(C235="","",IFERROR(INDEX(Products!$C$7:$C$104,MATCH(C235,Products!$B$7:$B$104,0)),"Unknown SKU"))</f>
        <v/>
      </c>
      <c r="E235" s="31"/>
      <c r="F235" s="31"/>
      <c r="G235" s="32"/>
      <c r="H235" s="33" t="str">
        <f aca="false">IF(C235="","",IF(G235="",IFERROR(INDEX(Products!$G$7:$G$104,MATCH(C235,Products!$B$7:$B$104,0)),0),G235))</f>
        <v/>
      </c>
      <c r="I235" s="33" t="str">
        <f aca="false">IF(C235="","",E235*H235)</f>
        <v/>
      </c>
      <c r="J235" s="1"/>
    </row>
    <row r="236" customFormat="false" ht="21.75" hidden="false" customHeight="true" outlineLevel="0" collapsed="false">
      <c r="A236" s="1"/>
      <c r="B236" s="38"/>
      <c r="C236" s="31"/>
      <c r="D236" s="35" t="str">
        <f aca="false">IF(C236="","",IFERROR(INDEX(Products!$C$7:$C$104,MATCH(C236,Products!$B$7:$B$104,0)),"Unknown SKU"))</f>
        <v/>
      </c>
      <c r="E236" s="31"/>
      <c r="F236" s="31"/>
      <c r="G236" s="32"/>
      <c r="H236" s="33" t="str">
        <f aca="false">IF(C236="","",IF(G236="",IFERROR(INDEX(Products!$G$7:$G$104,MATCH(C236,Products!$B$7:$B$104,0)),0),G236))</f>
        <v/>
      </c>
      <c r="I236" s="33" t="str">
        <f aca="false">IF(C236="","",E236*H236)</f>
        <v/>
      </c>
      <c r="J236" s="1"/>
    </row>
    <row r="237" customFormat="false" ht="21.75" hidden="false" customHeight="true" outlineLevel="0" collapsed="false">
      <c r="A237" s="1"/>
      <c r="B237" s="38"/>
      <c r="C237" s="31"/>
      <c r="D237" s="35" t="str">
        <f aca="false">IF(C237="","",IFERROR(INDEX(Products!$C$7:$C$104,MATCH(C237,Products!$B$7:$B$104,0)),"Unknown SKU"))</f>
        <v/>
      </c>
      <c r="E237" s="31"/>
      <c r="F237" s="31"/>
      <c r="G237" s="32"/>
      <c r="H237" s="33" t="str">
        <f aca="false">IF(C237="","",IF(G237="",IFERROR(INDEX(Products!$G$7:$G$104,MATCH(C237,Products!$B$7:$B$104,0)),0),G237))</f>
        <v/>
      </c>
      <c r="I237" s="33" t="str">
        <f aca="false">IF(C237="","",E237*H237)</f>
        <v/>
      </c>
      <c r="J237" s="1"/>
    </row>
    <row r="238" customFormat="false" ht="21.75" hidden="false" customHeight="true" outlineLevel="0" collapsed="false">
      <c r="A238" s="1"/>
      <c r="B238" s="38"/>
      <c r="C238" s="31"/>
      <c r="D238" s="35" t="str">
        <f aca="false">IF(C238="","",IFERROR(INDEX(Products!$C$7:$C$104,MATCH(C238,Products!$B$7:$B$104,0)),"Unknown SKU"))</f>
        <v/>
      </c>
      <c r="E238" s="31"/>
      <c r="F238" s="31"/>
      <c r="G238" s="32"/>
      <c r="H238" s="33" t="str">
        <f aca="false">IF(C238="","",IF(G238="",IFERROR(INDEX(Products!$G$7:$G$104,MATCH(C238,Products!$B$7:$B$104,0)),0),G238))</f>
        <v/>
      </c>
      <c r="I238" s="33" t="str">
        <f aca="false">IF(C238="","",E238*H238)</f>
        <v/>
      </c>
      <c r="J238" s="1"/>
    </row>
    <row r="239" customFormat="false" ht="21.75" hidden="false" customHeight="true" outlineLevel="0" collapsed="false">
      <c r="A239" s="1"/>
      <c r="B239" s="38"/>
      <c r="C239" s="31"/>
      <c r="D239" s="35" t="str">
        <f aca="false">IF(C239="","",IFERROR(INDEX(Products!$C$7:$C$104,MATCH(C239,Products!$B$7:$B$104,0)),"Unknown SKU"))</f>
        <v/>
      </c>
      <c r="E239" s="31"/>
      <c r="F239" s="31"/>
      <c r="G239" s="32"/>
      <c r="H239" s="33" t="str">
        <f aca="false">IF(C239="","",IF(G239="",IFERROR(INDEX(Products!$G$7:$G$104,MATCH(C239,Products!$B$7:$B$104,0)),0),G239))</f>
        <v/>
      </c>
      <c r="I239" s="33" t="str">
        <f aca="false">IF(C239="","",E239*H239)</f>
        <v/>
      </c>
      <c r="J239" s="1"/>
    </row>
    <row r="240" customFormat="false" ht="21.75" hidden="false" customHeight="true" outlineLevel="0" collapsed="false">
      <c r="A240" s="1"/>
      <c r="B240" s="38"/>
      <c r="C240" s="31"/>
      <c r="D240" s="35" t="str">
        <f aca="false">IF(C240="","",IFERROR(INDEX(Products!$C$7:$C$104,MATCH(C240,Products!$B$7:$B$104,0)),"Unknown SKU"))</f>
        <v/>
      </c>
      <c r="E240" s="31"/>
      <c r="F240" s="31"/>
      <c r="G240" s="32"/>
      <c r="H240" s="33" t="str">
        <f aca="false">IF(C240="","",IF(G240="",IFERROR(INDEX(Products!$G$7:$G$104,MATCH(C240,Products!$B$7:$B$104,0)),0),G240))</f>
        <v/>
      </c>
      <c r="I240" s="33" t="str">
        <f aca="false">IF(C240="","",E240*H240)</f>
        <v/>
      </c>
      <c r="J240" s="1"/>
    </row>
    <row r="241" customFormat="false" ht="21.75" hidden="false" customHeight="true" outlineLevel="0" collapsed="false">
      <c r="A241" s="1"/>
      <c r="B241" s="38"/>
      <c r="C241" s="31"/>
      <c r="D241" s="35" t="str">
        <f aca="false">IF(C241="","",IFERROR(INDEX(Products!$C$7:$C$104,MATCH(C241,Products!$B$7:$B$104,0)),"Unknown SKU"))</f>
        <v/>
      </c>
      <c r="E241" s="31"/>
      <c r="F241" s="31"/>
      <c r="G241" s="32"/>
      <c r="H241" s="33" t="str">
        <f aca="false">IF(C241="","",IF(G241="",IFERROR(INDEX(Products!$G$7:$G$104,MATCH(C241,Products!$B$7:$B$104,0)),0),G241))</f>
        <v/>
      </c>
      <c r="I241" s="33" t="str">
        <f aca="false">IF(C241="","",E241*H241)</f>
        <v/>
      </c>
      <c r="J241" s="1"/>
    </row>
    <row r="242" customFormat="false" ht="21.75" hidden="false" customHeight="true" outlineLevel="0" collapsed="false">
      <c r="A242" s="1"/>
      <c r="B242" s="38"/>
      <c r="C242" s="31"/>
      <c r="D242" s="35" t="str">
        <f aca="false">IF(C242="","",IFERROR(INDEX(Products!$C$7:$C$104,MATCH(C242,Products!$B$7:$B$104,0)),"Unknown SKU"))</f>
        <v/>
      </c>
      <c r="E242" s="31"/>
      <c r="F242" s="31"/>
      <c r="G242" s="32"/>
      <c r="H242" s="33" t="str">
        <f aca="false">IF(C242="","",IF(G242="",IFERROR(INDEX(Products!$G$7:$G$104,MATCH(C242,Products!$B$7:$B$104,0)),0),G242))</f>
        <v/>
      </c>
      <c r="I242" s="33" t="str">
        <f aca="false">IF(C242="","",E242*H242)</f>
        <v/>
      </c>
      <c r="J242" s="1"/>
    </row>
    <row r="243" customFormat="false" ht="21.75" hidden="false" customHeight="true" outlineLevel="0" collapsed="false">
      <c r="A243" s="1"/>
      <c r="B243" s="38"/>
      <c r="C243" s="31"/>
      <c r="D243" s="35" t="str">
        <f aca="false">IF(C243="","",IFERROR(INDEX(Products!$C$7:$C$104,MATCH(C243,Products!$B$7:$B$104,0)),"Unknown SKU"))</f>
        <v/>
      </c>
      <c r="E243" s="31"/>
      <c r="F243" s="31"/>
      <c r="G243" s="32"/>
      <c r="H243" s="33" t="str">
        <f aca="false">IF(C243="","",IF(G243="",IFERROR(INDEX(Products!$G$7:$G$104,MATCH(C243,Products!$B$7:$B$104,0)),0),G243))</f>
        <v/>
      </c>
      <c r="I243" s="33" t="str">
        <f aca="false">IF(C243="","",E243*H243)</f>
        <v/>
      </c>
      <c r="J243" s="1"/>
    </row>
    <row r="244" customFormat="false" ht="21.75" hidden="false" customHeight="true" outlineLevel="0" collapsed="false">
      <c r="A244" s="1"/>
      <c r="B244" s="38"/>
      <c r="C244" s="31"/>
      <c r="D244" s="35" t="str">
        <f aca="false">IF(C244="","",IFERROR(INDEX(Products!$C$7:$C$104,MATCH(C244,Products!$B$7:$B$104,0)),"Unknown SKU"))</f>
        <v/>
      </c>
      <c r="E244" s="31"/>
      <c r="F244" s="31"/>
      <c r="G244" s="32"/>
      <c r="H244" s="33" t="str">
        <f aca="false">IF(C244="","",IF(G244="",IFERROR(INDEX(Products!$G$7:$G$104,MATCH(C244,Products!$B$7:$B$104,0)),0),G244))</f>
        <v/>
      </c>
      <c r="I244" s="33" t="str">
        <f aca="false">IF(C244="","",E244*H244)</f>
        <v/>
      </c>
      <c r="J244" s="1"/>
    </row>
    <row r="245" customFormat="false" ht="21.75" hidden="false" customHeight="true" outlineLevel="0" collapsed="false">
      <c r="A245" s="1"/>
      <c r="B245" s="38"/>
      <c r="C245" s="31"/>
      <c r="D245" s="35" t="str">
        <f aca="false">IF(C245="","",IFERROR(INDEX(Products!$C$7:$C$104,MATCH(C245,Products!$B$7:$B$104,0)),"Unknown SKU"))</f>
        <v/>
      </c>
      <c r="E245" s="31"/>
      <c r="F245" s="31"/>
      <c r="G245" s="32"/>
      <c r="H245" s="33" t="str">
        <f aca="false">IF(C245="","",IF(G245="",IFERROR(INDEX(Products!$G$7:$G$104,MATCH(C245,Products!$B$7:$B$104,0)),0),G245))</f>
        <v/>
      </c>
      <c r="I245" s="33" t="str">
        <f aca="false">IF(C245="","",E245*H245)</f>
        <v/>
      </c>
      <c r="J245" s="1"/>
    </row>
    <row r="246" customFormat="false" ht="21.75" hidden="false" customHeight="true" outlineLevel="0" collapsed="false">
      <c r="A246" s="1"/>
      <c r="B246" s="38"/>
      <c r="C246" s="31"/>
      <c r="D246" s="35" t="str">
        <f aca="false">IF(C246="","",IFERROR(INDEX(Products!$C$7:$C$104,MATCH(C246,Products!$B$7:$B$104,0)),"Unknown SKU"))</f>
        <v/>
      </c>
      <c r="E246" s="31"/>
      <c r="F246" s="31"/>
      <c r="G246" s="32"/>
      <c r="H246" s="33" t="str">
        <f aca="false">IF(C246="","",IF(G246="",IFERROR(INDEX(Products!$G$7:$G$104,MATCH(C246,Products!$B$7:$B$104,0)),0),G246))</f>
        <v/>
      </c>
      <c r="I246" s="33" t="str">
        <f aca="false">IF(C246="","",E246*H246)</f>
        <v/>
      </c>
      <c r="J246" s="1"/>
    </row>
    <row r="247" customFormat="false" ht="21.75" hidden="false" customHeight="true" outlineLevel="0" collapsed="false">
      <c r="A247" s="1"/>
      <c r="B247" s="38"/>
      <c r="C247" s="31"/>
      <c r="D247" s="35" t="str">
        <f aca="false">IF(C247="","",IFERROR(INDEX(Products!$C$7:$C$104,MATCH(C247,Products!$B$7:$B$104,0)),"Unknown SKU"))</f>
        <v/>
      </c>
      <c r="E247" s="31"/>
      <c r="F247" s="31"/>
      <c r="G247" s="32"/>
      <c r="H247" s="33" t="str">
        <f aca="false">IF(C247="","",IF(G247="",IFERROR(INDEX(Products!$G$7:$G$104,MATCH(C247,Products!$B$7:$B$104,0)),0),G247))</f>
        <v/>
      </c>
      <c r="I247" s="33" t="str">
        <f aca="false">IF(C247="","",E247*H247)</f>
        <v/>
      </c>
      <c r="J247" s="1"/>
    </row>
    <row r="248" customFormat="false" ht="21.75" hidden="false" customHeight="true" outlineLevel="0" collapsed="false">
      <c r="A248" s="1"/>
      <c r="B248" s="38"/>
      <c r="C248" s="31"/>
      <c r="D248" s="35" t="str">
        <f aca="false">IF(C248="","",IFERROR(INDEX(Products!$C$7:$C$104,MATCH(C248,Products!$B$7:$B$104,0)),"Unknown SKU"))</f>
        <v/>
      </c>
      <c r="E248" s="31"/>
      <c r="F248" s="31"/>
      <c r="G248" s="32"/>
      <c r="H248" s="33" t="str">
        <f aca="false">IF(C248="","",IF(G248="",IFERROR(INDEX(Products!$G$7:$G$104,MATCH(C248,Products!$B$7:$B$104,0)),0),G248))</f>
        <v/>
      </c>
      <c r="I248" s="33" t="str">
        <f aca="false">IF(C248="","",E248*H248)</f>
        <v/>
      </c>
      <c r="J248" s="1"/>
    </row>
    <row r="249" customFormat="false" ht="21.75" hidden="false" customHeight="true" outlineLevel="0" collapsed="false">
      <c r="A249" s="1"/>
      <c r="B249" s="38"/>
      <c r="C249" s="31"/>
      <c r="D249" s="35" t="str">
        <f aca="false">IF(C249="","",IFERROR(INDEX(Products!$C$7:$C$104,MATCH(C249,Products!$B$7:$B$104,0)),"Unknown SKU"))</f>
        <v/>
      </c>
      <c r="E249" s="31"/>
      <c r="F249" s="31"/>
      <c r="G249" s="32"/>
      <c r="H249" s="33" t="str">
        <f aca="false">IF(C249="","",IF(G249="",IFERROR(INDEX(Products!$G$7:$G$104,MATCH(C249,Products!$B$7:$B$104,0)),0),G249))</f>
        <v/>
      </c>
      <c r="I249" s="33" t="str">
        <f aca="false">IF(C249="","",E249*H249)</f>
        <v/>
      </c>
      <c r="J249" s="1"/>
    </row>
    <row r="250" customFormat="false" ht="21.75" hidden="false" customHeight="true" outlineLevel="0" collapsed="false">
      <c r="A250" s="1"/>
      <c r="B250" s="38"/>
      <c r="C250" s="31"/>
      <c r="D250" s="35" t="str">
        <f aca="false">IF(C250="","",IFERROR(INDEX(Products!$C$7:$C$104,MATCH(C250,Products!$B$7:$B$104,0)),"Unknown SKU"))</f>
        <v/>
      </c>
      <c r="E250" s="31"/>
      <c r="F250" s="31"/>
      <c r="G250" s="32"/>
      <c r="H250" s="33" t="str">
        <f aca="false">IF(C250="","",IF(G250="",IFERROR(INDEX(Products!$G$7:$G$104,MATCH(C250,Products!$B$7:$B$104,0)),0),G250))</f>
        <v/>
      </c>
      <c r="I250" s="33" t="str">
        <f aca="false">IF(C250="","",E250*H250)</f>
        <v/>
      </c>
      <c r="J250" s="1"/>
    </row>
    <row r="251" customFormat="false" ht="21.75" hidden="false" customHeight="true" outlineLevel="0" collapsed="false">
      <c r="A251" s="1"/>
      <c r="B251" s="38"/>
      <c r="C251" s="31"/>
      <c r="D251" s="35" t="str">
        <f aca="false">IF(C251="","",IFERROR(INDEX(Products!$C$7:$C$104,MATCH(C251,Products!$B$7:$B$104,0)),"Unknown SKU"))</f>
        <v/>
      </c>
      <c r="E251" s="31"/>
      <c r="F251" s="31"/>
      <c r="G251" s="32"/>
      <c r="H251" s="33" t="str">
        <f aca="false">IF(C251="","",IF(G251="",IFERROR(INDEX(Products!$G$7:$G$104,MATCH(C251,Products!$B$7:$B$104,0)),0),G251))</f>
        <v/>
      </c>
      <c r="I251" s="33" t="str">
        <f aca="false">IF(C251="","",E251*H251)</f>
        <v/>
      </c>
      <c r="J251" s="1"/>
    </row>
    <row r="252" customFormat="false" ht="21.75" hidden="false" customHeight="true" outlineLevel="0" collapsed="false">
      <c r="A252" s="1"/>
      <c r="B252" s="38"/>
      <c r="C252" s="31"/>
      <c r="D252" s="35" t="str">
        <f aca="false">IF(C252="","",IFERROR(INDEX(Products!$C$7:$C$104,MATCH(C252,Products!$B$7:$B$104,0)),"Unknown SKU"))</f>
        <v/>
      </c>
      <c r="E252" s="31"/>
      <c r="F252" s="31"/>
      <c r="G252" s="32"/>
      <c r="H252" s="33" t="str">
        <f aca="false">IF(C252="","",IF(G252="",IFERROR(INDEX(Products!$G$7:$G$104,MATCH(C252,Products!$B$7:$B$104,0)),0),G252))</f>
        <v/>
      </c>
      <c r="I252" s="33" t="str">
        <f aca="false">IF(C252="","",E252*H252)</f>
        <v/>
      </c>
      <c r="J252" s="1"/>
    </row>
    <row r="253" customFormat="false" ht="21.75" hidden="false" customHeight="true" outlineLevel="0" collapsed="false">
      <c r="A253" s="1"/>
      <c r="B253" s="38"/>
      <c r="C253" s="31"/>
      <c r="D253" s="35" t="str">
        <f aca="false">IF(C253="","",IFERROR(INDEX(Products!$C$7:$C$104,MATCH(C253,Products!$B$7:$B$104,0)),"Unknown SKU"))</f>
        <v/>
      </c>
      <c r="E253" s="31"/>
      <c r="F253" s="31"/>
      <c r="G253" s="32"/>
      <c r="H253" s="33" t="str">
        <f aca="false">IF(C253="","",IF(G253="",IFERROR(INDEX(Products!$G$7:$G$104,MATCH(C253,Products!$B$7:$B$104,0)),0),G253))</f>
        <v/>
      </c>
      <c r="I253" s="33" t="str">
        <f aca="false">IF(C253="","",E253*H253)</f>
        <v/>
      </c>
      <c r="J253" s="1"/>
    </row>
    <row r="254" customFormat="false" ht="21.75" hidden="false" customHeight="true" outlineLevel="0" collapsed="false">
      <c r="A254" s="1"/>
      <c r="B254" s="38"/>
      <c r="C254" s="31"/>
      <c r="D254" s="35" t="str">
        <f aca="false">IF(C254="","",IFERROR(INDEX(Products!$C$7:$C$104,MATCH(C254,Products!$B$7:$B$104,0)),"Unknown SKU"))</f>
        <v/>
      </c>
      <c r="E254" s="31"/>
      <c r="F254" s="31"/>
      <c r="G254" s="32"/>
      <c r="H254" s="33" t="str">
        <f aca="false">IF(C254="","",IF(G254="",IFERROR(INDEX(Products!$G$7:$G$104,MATCH(C254,Products!$B$7:$B$104,0)),0),G254))</f>
        <v/>
      </c>
      <c r="I254" s="33" t="str">
        <f aca="false">IF(C254="","",E254*H254)</f>
        <v/>
      </c>
      <c r="J254" s="1"/>
    </row>
    <row r="255" customFormat="false" ht="21.75" hidden="false" customHeight="true" outlineLevel="0" collapsed="false">
      <c r="A255" s="1"/>
      <c r="B255" s="38"/>
      <c r="C255" s="31"/>
      <c r="D255" s="35" t="str">
        <f aca="false">IF(C255="","",IFERROR(INDEX(Products!$C$7:$C$104,MATCH(C255,Products!$B$7:$B$104,0)),"Unknown SKU"))</f>
        <v/>
      </c>
      <c r="E255" s="31"/>
      <c r="F255" s="31"/>
      <c r="G255" s="32"/>
      <c r="H255" s="33" t="str">
        <f aca="false">IF(C255="","",IF(G255="",IFERROR(INDEX(Products!$G$7:$G$104,MATCH(C255,Products!$B$7:$B$104,0)),0),G255))</f>
        <v/>
      </c>
      <c r="I255" s="33" t="str">
        <f aca="false">IF(C255="","",E255*H255)</f>
        <v/>
      </c>
      <c r="J255" s="1"/>
    </row>
    <row r="256" customFormat="false" ht="21.75" hidden="false" customHeight="true" outlineLevel="0" collapsed="false">
      <c r="A256" s="1"/>
      <c r="B256" s="38"/>
      <c r="C256" s="31"/>
      <c r="D256" s="35" t="str">
        <f aca="false">IF(C256="","",IFERROR(INDEX(Products!$C$7:$C$104,MATCH(C256,Products!$B$7:$B$104,0)),"Unknown SKU"))</f>
        <v/>
      </c>
      <c r="E256" s="31"/>
      <c r="F256" s="31"/>
      <c r="G256" s="32"/>
      <c r="H256" s="33" t="str">
        <f aca="false">IF(C256="","",IF(G256="",IFERROR(INDEX(Products!$G$7:$G$104,MATCH(C256,Products!$B$7:$B$104,0)),0),G256))</f>
        <v/>
      </c>
      <c r="I256" s="33" t="str">
        <f aca="false">IF(C256="","",E256*H256)</f>
        <v/>
      </c>
      <c r="J256" s="1"/>
    </row>
    <row r="257" customFormat="false" ht="21.75" hidden="false" customHeight="true" outlineLevel="0" collapsed="false">
      <c r="A257" s="1"/>
      <c r="B257" s="38"/>
      <c r="C257" s="31"/>
      <c r="D257" s="35" t="str">
        <f aca="false">IF(C257="","",IFERROR(INDEX(Products!$C$7:$C$104,MATCH(C257,Products!$B$7:$B$104,0)),"Unknown SKU"))</f>
        <v/>
      </c>
      <c r="E257" s="31"/>
      <c r="F257" s="31"/>
      <c r="G257" s="32"/>
      <c r="H257" s="33" t="str">
        <f aca="false">IF(C257="","",IF(G257="",IFERROR(INDEX(Products!$G$7:$G$104,MATCH(C257,Products!$B$7:$B$104,0)),0),G257))</f>
        <v/>
      </c>
      <c r="I257" s="33" t="str">
        <f aca="false">IF(C257="","",E257*H257)</f>
        <v/>
      </c>
      <c r="J257" s="1"/>
    </row>
    <row r="258" customFormat="false" ht="21.75" hidden="false" customHeight="true" outlineLevel="0" collapsed="false">
      <c r="A258" s="1"/>
      <c r="B258" s="38"/>
      <c r="C258" s="31"/>
      <c r="D258" s="35" t="str">
        <f aca="false">IF(C258="","",IFERROR(INDEX(Products!$C$7:$C$104,MATCH(C258,Products!$B$7:$B$104,0)),"Unknown SKU"))</f>
        <v/>
      </c>
      <c r="E258" s="31"/>
      <c r="F258" s="31"/>
      <c r="G258" s="32"/>
      <c r="H258" s="33" t="str">
        <f aca="false">IF(C258="","",IF(G258="",IFERROR(INDEX(Products!$G$7:$G$104,MATCH(C258,Products!$B$7:$B$104,0)),0),G258))</f>
        <v/>
      </c>
      <c r="I258" s="33" t="str">
        <f aca="false">IF(C258="","",E258*H258)</f>
        <v/>
      </c>
      <c r="J258" s="1"/>
    </row>
    <row r="259" customFormat="false" ht="21.75" hidden="false" customHeight="true" outlineLevel="0" collapsed="false">
      <c r="A259" s="1"/>
      <c r="B259" s="38"/>
      <c r="C259" s="31"/>
      <c r="D259" s="35" t="str">
        <f aca="false">IF(C259="","",IFERROR(INDEX(Products!$C$7:$C$104,MATCH(C259,Products!$B$7:$B$104,0)),"Unknown SKU"))</f>
        <v/>
      </c>
      <c r="E259" s="31"/>
      <c r="F259" s="31"/>
      <c r="G259" s="32"/>
      <c r="H259" s="33" t="str">
        <f aca="false">IF(C259="","",IF(G259="",IFERROR(INDEX(Products!$G$7:$G$104,MATCH(C259,Products!$B$7:$B$104,0)),0),G259))</f>
        <v/>
      </c>
      <c r="I259" s="33" t="str">
        <f aca="false">IF(C259="","",E259*H259)</f>
        <v/>
      </c>
      <c r="J259" s="1"/>
    </row>
    <row r="260" customFormat="false" ht="21.75" hidden="false" customHeight="true" outlineLevel="0" collapsed="false">
      <c r="A260" s="1"/>
      <c r="B260" s="38"/>
      <c r="C260" s="31"/>
      <c r="D260" s="35" t="str">
        <f aca="false">IF(C260="","",IFERROR(INDEX(Products!$C$7:$C$104,MATCH(C260,Products!$B$7:$B$104,0)),"Unknown SKU"))</f>
        <v/>
      </c>
      <c r="E260" s="31"/>
      <c r="F260" s="31"/>
      <c r="G260" s="32"/>
      <c r="H260" s="33" t="str">
        <f aca="false">IF(C260="","",IF(G260="",IFERROR(INDEX(Products!$G$7:$G$104,MATCH(C260,Products!$B$7:$B$104,0)),0),G260))</f>
        <v/>
      </c>
      <c r="I260" s="33" t="str">
        <f aca="false">IF(C260="","",E260*H260)</f>
        <v/>
      </c>
      <c r="J260" s="1"/>
    </row>
    <row r="261" customFormat="false" ht="21.75" hidden="false" customHeight="true" outlineLevel="0" collapsed="false">
      <c r="A261" s="1"/>
      <c r="B261" s="38"/>
      <c r="C261" s="31"/>
      <c r="D261" s="35" t="str">
        <f aca="false">IF(C261="","",IFERROR(INDEX(Products!$C$7:$C$104,MATCH(C261,Products!$B$7:$B$104,0)),"Unknown SKU"))</f>
        <v/>
      </c>
      <c r="E261" s="31"/>
      <c r="F261" s="31"/>
      <c r="G261" s="32"/>
      <c r="H261" s="33" t="str">
        <f aca="false">IF(C261="","",IF(G261="",IFERROR(INDEX(Products!$G$7:$G$104,MATCH(C261,Products!$B$7:$B$104,0)),0),G261))</f>
        <v/>
      </c>
      <c r="I261" s="33" t="str">
        <f aca="false">IF(C261="","",E261*H261)</f>
        <v/>
      </c>
      <c r="J261" s="1"/>
    </row>
    <row r="262" customFormat="false" ht="21.75" hidden="false" customHeight="true" outlineLevel="0" collapsed="false">
      <c r="A262" s="1"/>
      <c r="B262" s="38"/>
      <c r="C262" s="31"/>
      <c r="D262" s="35" t="str">
        <f aca="false">IF(C262="","",IFERROR(INDEX(Products!$C$7:$C$104,MATCH(C262,Products!$B$7:$B$104,0)),"Unknown SKU"))</f>
        <v/>
      </c>
      <c r="E262" s="31"/>
      <c r="F262" s="31"/>
      <c r="G262" s="32"/>
      <c r="H262" s="33" t="str">
        <f aca="false">IF(C262="","",IF(G262="",IFERROR(INDEX(Products!$G$7:$G$104,MATCH(C262,Products!$B$7:$B$104,0)),0),G262))</f>
        <v/>
      </c>
      <c r="I262" s="33" t="str">
        <f aca="false">IF(C262="","",E262*H262)</f>
        <v/>
      </c>
      <c r="J262" s="1"/>
    </row>
    <row r="263" customFormat="false" ht="21.75" hidden="false" customHeight="true" outlineLevel="0" collapsed="false">
      <c r="A263" s="1"/>
      <c r="B263" s="38"/>
      <c r="C263" s="31"/>
      <c r="D263" s="35" t="str">
        <f aca="false">IF(C263="","",IFERROR(INDEX(Products!$C$7:$C$104,MATCH(C263,Products!$B$7:$B$104,0)),"Unknown SKU"))</f>
        <v/>
      </c>
      <c r="E263" s="31"/>
      <c r="F263" s="31"/>
      <c r="G263" s="32"/>
      <c r="H263" s="33" t="str">
        <f aca="false">IF(C263="","",IF(G263="",IFERROR(INDEX(Products!$G$7:$G$104,MATCH(C263,Products!$B$7:$B$104,0)),0),G263))</f>
        <v/>
      </c>
      <c r="I263" s="33" t="str">
        <f aca="false">IF(C263="","",E263*H263)</f>
        <v/>
      </c>
      <c r="J263" s="1"/>
    </row>
    <row r="264" customFormat="false" ht="21.75" hidden="false" customHeight="true" outlineLevel="0" collapsed="false">
      <c r="A264" s="1"/>
      <c r="B264" s="38"/>
      <c r="C264" s="31"/>
      <c r="D264" s="35" t="str">
        <f aca="false">IF(C264="","",IFERROR(INDEX(Products!$C$7:$C$104,MATCH(C264,Products!$B$7:$B$104,0)),"Unknown SKU"))</f>
        <v/>
      </c>
      <c r="E264" s="31"/>
      <c r="F264" s="31"/>
      <c r="G264" s="32"/>
      <c r="H264" s="33" t="str">
        <f aca="false">IF(C264="","",IF(G264="",IFERROR(INDEX(Products!$G$7:$G$104,MATCH(C264,Products!$B$7:$B$104,0)),0),G264))</f>
        <v/>
      </c>
      <c r="I264" s="33" t="str">
        <f aca="false">IF(C264="","",E264*H264)</f>
        <v/>
      </c>
      <c r="J264" s="1"/>
    </row>
    <row r="265" customFormat="false" ht="21.75" hidden="false" customHeight="true" outlineLevel="0" collapsed="false">
      <c r="A265" s="1"/>
      <c r="B265" s="38"/>
      <c r="C265" s="31"/>
      <c r="D265" s="35" t="str">
        <f aca="false">IF(C265="","",IFERROR(INDEX(Products!$C$7:$C$104,MATCH(C265,Products!$B$7:$B$104,0)),"Unknown SKU"))</f>
        <v/>
      </c>
      <c r="E265" s="31"/>
      <c r="F265" s="31"/>
      <c r="G265" s="32"/>
      <c r="H265" s="33" t="str">
        <f aca="false">IF(C265="","",IF(G265="",IFERROR(INDEX(Products!$G$7:$G$104,MATCH(C265,Products!$B$7:$B$104,0)),0),G265))</f>
        <v/>
      </c>
      <c r="I265" s="33" t="str">
        <f aca="false">IF(C265="","",E265*H265)</f>
        <v/>
      </c>
      <c r="J265" s="1"/>
    </row>
    <row r="266" customFormat="false" ht="21.75" hidden="false" customHeight="true" outlineLevel="0" collapsed="false">
      <c r="A266" s="1"/>
      <c r="B266" s="38"/>
      <c r="C266" s="31"/>
      <c r="D266" s="35" t="str">
        <f aca="false">IF(C266="","",IFERROR(INDEX(Products!$C$7:$C$104,MATCH(C266,Products!$B$7:$B$104,0)),"Unknown SKU"))</f>
        <v/>
      </c>
      <c r="E266" s="31"/>
      <c r="F266" s="31"/>
      <c r="G266" s="32"/>
      <c r="H266" s="33" t="str">
        <f aca="false">IF(C266="","",IF(G266="",IFERROR(INDEX(Products!$G$7:$G$104,MATCH(C266,Products!$B$7:$B$104,0)),0),G266))</f>
        <v/>
      </c>
      <c r="I266" s="33" t="str">
        <f aca="false">IF(C266="","",E266*H266)</f>
        <v/>
      </c>
      <c r="J266" s="1"/>
    </row>
    <row r="267" customFormat="false" ht="21.75" hidden="false" customHeight="true" outlineLevel="0" collapsed="false">
      <c r="A267" s="1"/>
      <c r="B267" s="38"/>
      <c r="C267" s="31"/>
      <c r="D267" s="35" t="str">
        <f aca="false">IF(C267="","",IFERROR(INDEX(Products!$C$7:$C$104,MATCH(C267,Products!$B$7:$B$104,0)),"Unknown SKU"))</f>
        <v/>
      </c>
      <c r="E267" s="31"/>
      <c r="F267" s="31"/>
      <c r="G267" s="32"/>
      <c r="H267" s="33" t="str">
        <f aca="false">IF(C267="","",IF(G267="",IFERROR(INDEX(Products!$G$7:$G$104,MATCH(C267,Products!$B$7:$B$104,0)),0),G267))</f>
        <v/>
      </c>
      <c r="I267" s="33" t="str">
        <f aca="false">IF(C267="","",E267*H267)</f>
        <v/>
      </c>
      <c r="J267" s="1"/>
    </row>
    <row r="268" customFormat="false" ht="21.75" hidden="false" customHeight="true" outlineLevel="0" collapsed="false">
      <c r="A268" s="1"/>
      <c r="B268" s="38"/>
      <c r="C268" s="31"/>
      <c r="D268" s="35" t="str">
        <f aca="false">IF(C268="","",IFERROR(INDEX(Products!$C$7:$C$104,MATCH(C268,Products!$B$7:$B$104,0)),"Unknown SKU"))</f>
        <v/>
      </c>
      <c r="E268" s="31"/>
      <c r="F268" s="31"/>
      <c r="G268" s="32"/>
      <c r="H268" s="33" t="str">
        <f aca="false">IF(C268="","",IF(G268="",IFERROR(INDEX(Products!$G$7:$G$104,MATCH(C268,Products!$B$7:$B$104,0)),0),G268))</f>
        <v/>
      </c>
      <c r="I268" s="33" t="str">
        <f aca="false">IF(C268="","",E268*H268)</f>
        <v/>
      </c>
      <c r="J268" s="1"/>
    </row>
    <row r="269" customFormat="false" ht="21.75" hidden="false" customHeight="true" outlineLevel="0" collapsed="false">
      <c r="A269" s="1"/>
      <c r="B269" s="38"/>
      <c r="C269" s="31"/>
      <c r="D269" s="35" t="str">
        <f aca="false">IF(C269="","",IFERROR(INDEX(Products!$C$7:$C$104,MATCH(C269,Products!$B$7:$B$104,0)),"Unknown SKU"))</f>
        <v/>
      </c>
      <c r="E269" s="31"/>
      <c r="F269" s="31"/>
      <c r="G269" s="32"/>
      <c r="H269" s="33" t="str">
        <f aca="false">IF(C269="","",IF(G269="",IFERROR(INDEX(Products!$G$7:$G$104,MATCH(C269,Products!$B$7:$B$104,0)),0),G269))</f>
        <v/>
      </c>
      <c r="I269" s="33" t="str">
        <f aca="false">IF(C269="","",E269*H269)</f>
        <v/>
      </c>
      <c r="J269" s="1"/>
    </row>
    <row r="270" customFormat="false" ht="21.75" hidden="false" customHeight="true" outlineLevel="0" collapsed="false">
      <c r="A270" s="1"/>
      <c r="B270" s="38"/>
      <c r="C270" s="31"/>
      <c r="D270" s="35" t="str">
        <f aca="false">IF(C270="","",IFERROR(INDEX(Products!$C$7:$C$104,MATCH(C270,Products!$B$7:$B$104,0)),"Unknown SKU"))</f>
        <v/>
      </c>
      <c r="E270" s="31"/>
      <c r="F270" s="31"/>
      <c r="G270" s="32"/>
      <c r="H270" s="33" t="str">
        <f aca="false">IF(C270="","",IF(G270="",IFERROR(INDEX(Products!$G$7:$G$104,MATCH(C270,Products!$B$7:$B$104,0)),0),G270))</f>
        <v/>
      </c>
      <c r="I270" s="33" t="str">
        <f aca="false">IF(C270="","",E270*H270)</f>
        <v/>
      </c>
      <c r="J270" s="1"/>
    </row>
    <row r="271" customFormat="false" ht="21.75" hidden="false" customHeight="true" outlineLevel="0" collapsed="false">
      <c r="A271" s="1"/>
      <c r="B271" s="38"/>
      <c r="C271" s="31"/>
      <c r="D271" s="35" t="str">
        <f aca="false">IF(C271="","",IFERROR(INDEX(Products!$C$7:$C$104,MATCH(C271,Products!$B$7:$B$104,0)),"Unknown SKU"))</f>
        <v/>
      </c>
      <c r="E271" s="31"/>
      <c r="F271" s="31"/>
      <c r="G271" s="32"/>
      <c r="H271" s="33" t="str">
        <f aca="false">IF(C271="","",IF(G271="",IFERROR(INDEX(Products!$G$7:$G$104,MATCH(C271,Products!$B$7:$B$104,0)),0),G271))</f>
        <v/>
      </c>
      <c r="I271" s="33" t="str">
        <f aca="false">IF(C271="","",E271*H271)</f>
        <v/>
      </c>
      <c r="J271" s="1"/>
    </row>
    <row r="272" customFormat="false" ht="21.75" hidden="false" customHeight="true" outlineLevel="0" collapsed="false">
      <c r="A272" s="1"/>
      <c r="B272" s="38"/>
      <c r="C272" s="31"/>
      <c r="D272" s="35" t="str">
        <f aca="false">IF(C272="","",IFERROR(INDEX(Products!$C$7:$C$104,MATCH(C272,Products!$B$7:$B$104,0)),"Unknown SKU"))</f>
        <v/>
      </c>
      <c r="E272" s="31"/>
      <c r="F272" s="31"/>
      <c r="G272" s="32"/>
      <c r="H272" s="33" t="str">
        <f aca="false">IF(C272="","",IF(G272="",IFERROR(INDEX(Products!$G$7:$G$104,MATCH(C272,Products!$B$7:$B$104,0)),0),G272))</f>
        <v/>
      </c>
      <c r="I272" s="33" t="str">
        <f aca="false">IF(C272="","",E272*H272)</f>
        <v/>
      </c>
      <c r="J272" s="1"/>
    </row>
    <row r="273" customFormat="false" ht="21.75" hidden="false" customHeight="true" outlineLevel="0" collapsed="false">
      <c r="A273" s="1"/>
      <c r="B273" s="38"/>
      <c r="C273" s="31"/>
      <c r="D273" s="35" t="str">
        <f aca="false">IF(C273="","",IFERROR(INDEX(Products!$C$7:$C$104,MATCH(C273,Products!$B$7:$B$104,0)),"Unknown SKU"))</f>
        <v/>
      </c>
      <c r="E273" s="31"/>
      <c r="F273" s="31"/>
      <c r="G273" s="32"/>
      <c r="H273" s="33" t="str">
        <f aca="false">IF(C273="","",IF(G273="",IFERROR(INDEX(Products!$G$7:$G$104,MATCH(C273,Products!$B$7:$B$104,0)),0),G273))</f>
        <v/>
      </c>
      <c r="I273" s="33" t="str">
        <f aca="false">IF(C273="","",E273*H273)</f>
        <v/>
      </c>
      <c r="J273" s="1"/>
    </row>
    <row r="274" customFormat="false" ht="21.75" hidden="false" customHeight="true" outlineLevel="0" collapsed="false">
      <c r="A274" s="1"/>
      <c r="B274" s="38"/>
      <c r="C274" s="31"/>
      <c r="D274" s="35" t="str">
        <f aca="false">IF(C274="","",IFERROR(INDEX(Products!$C$7:$C$104,MATCH(C274,Products!$B$7:$B$104,0)),"Unknown SKU"))</f>
        <v/>
      </c>
      <c r="E274" s="31"/>
      <c r="F274" s="31"/>
      <c r="G274" s="32"/>
      <c r="H274" s="33" t="str">
        <f aca="false">IF(C274="","",IF(G274="",IFERROR(INDEX(Products!$G$7:$G$104,MATCH(C274,Products!$B$7:$B$104,0)),0),G274))</f>
        <v/>
      </c>
      <c r="I274" s="33" t="str">
        <f aca="false">IF(C274="","",E274*H274)</f>
        <v/>
      </c>
      <c r="J274" s="1"/>
    </row>
    <row r="275" customFormat="false" ht="21.75" hidden="false" customHeight="true" outlineLevel="0" collapsed="false">
      <c r="A275" s="1"/>
      <c r="B275" s="38"/>
      <c r="C275" s="31"/>
      <c r="D275" s="35" t="str">
        <f aca="false">IF(C275="","",IFERROR(INDEX(Products!$C$7:$C$104,MATCH(C275,Products!$B$7:$B$104,0)),"Unknown SKU"))</f>
        <v/>
      </c>
      <c r="E275" s="31"/>
      <c r="F275" s="31"/>
      <c r="G275" s="32"/>
      <c r="H275" s="33" t="str">
        <f aca="false">IF(C275="","",IF(G275="",IFERROR(INDEX(Products!$G$7:$G$104,MATCH(C275,Products!$B$7:$B$104,0)),0),G275))</f>
        <v/>
      </c>
      <c r="I275" s="33" t="str">
        <f aca="false">IF(C275="","",E275*H275)</f>
        <v/>
      </c>
      <c r="J275" s="1"/>
    </row>
    <row r="276" customFormat="false" ht="21.75" hidden="false" customHeight="true" outlineLevel="0" collapsed="false">
      <c r="A276" s="1"/>
      <c r="B276" s="38"/>
      <c r="C276" s="31"/>
      <c r="D276" s="35" t="str">
        <f aca="false">IF(C276="","",IFERROR(INDEX(Products!$C$7:$C$104,MATCH(C276,Products!$B$7:$B$104,0)),"Unknown SKU"))</f>
        <v/>
      </c>
      <c r="E276" s="31"/>
      <c r="F276" s="31"/>
      <c r="G276" s="32"/>
      <c r="H276" s="33" t="str">
        <f aca="false">IF(C276="","",IF(G276="",IFERROR(INDEX(Products!$G$7:$G$104,MATCH(C276,Products!$B$7:$B$104,0)),0),G276))</f>
        <v/>
      </c>
      <c r="I276" s="33" t="str">
        <f aca="false">IF(C276="","",E276*H276)</f>
        <v/>
      </c>
      <c r="J276" s="1"/>
    </row>
    <row r="277" customFormat="false" ht="21.75" hidden="false" customHeight="true" outlineLevel="0" collapsed="false">
      <c r="A277" s="1"/>
      <c r="B277" s="38"/>
      <c r="C277" s="31"/>
      <c r="D277" s="35" t="str">
        <f aca="false">IF(C277="","",IFERROR(INDEX(Products!$C$7:$C$104,MATCH(C277,Products!$B$7:$B$104,0)),"Unknown SKU"))</f>
        <v/>
      </c>
      <c r="E277" s="31"/>
      <c r="F277" s="31"/>
      <c r="G277" s="32"/>
      <c r="H277" s="33" t="str">
        <f aca="false">IF(C277="","",IF(G277="",IFERROR(INDEX(Products!$G$7:$G$104,MATCH(C277,Products!$B$7:$B$104,0)),0),G277))</f>
        <v/>
      </c>
      <c r="I277" s="33" t="str">
        <f aca="false">IF(C277="","",E277*H277)</f>
        <v/>
      </c>
      <c r="J277" s="1"/>
    </row>
    <row r="278" customFormat="false" ht="21.75" hidden="false" customHeight="true" outlineLevel="0" collapsed="false">
      <c r="A278" s="1"/>
      <c r="B278" s="38"/>
      <c r="C278" s="31"/>
      <c r="D278" s="35" t="str">
        <f aca="false">IF(C278="","",IFERROR(INDEX(Products!$C$7:$C$104,MATCH(C278,Products!$B$7:$B$104,0)),"Unknown SKU"))</f>
        <v/>
      </c>
      <c r="E278" s="31"/>
      <c r="F278" s="31"/>
      <c r="G278" s="32"/>
      <c r="H278" s="33" t="str">
        <f aca="false">IF(C278="","",IF(G278="",IFERROR(INDEX(Products!$G$7:$G$104,MATCH(C278,Products!$B$7:$B$104,0)),0),G278))</f>
        <v/>
      </c>
      <c r="I278" s="33" t="str">
        <f aca="false">IF(C278="","",E278*H278)</f>
        <v/>
      </c>
      <c r="J278" s="1"/>
    </row>
    <row r="279" customFormat="false" ht="21.75" hidden="false" customHeight="true" outlineLevel="0" collapsed="false">
      <c r="A279" s="1"/>
      <c r="B279" s="38"/>
      <c r="C279" s="31"/>
      <c r="D279" s="35" t="str">
        <f aca="false">IF(C279="","",IFERROR(INDEX(Products!$C$7:$C$104,MATCH(C279,Products!$B$7:$B$104,0)),"Unknown SKU"))</f>
        <v/>
      </c>
      <c r="E279" s="31"/>
      <c r="F279" s="31"/>
      <c r="G279" s="32"/>
      <c r="H279" s="33" t="str">
        <f aca="false">IF(C279="","",IF(G279="",IFERROR(INDEX(Products!$G$7:$G$104,MATCH(C279,Products!$B$7:$B$104,0)),0),G279))</f>
        <v/>
      </c>
      <c r="I279" s="33" t="str">
        <f aca="false">IF(C279="","",E279*H279)</f>
        <v/>
      </c>
      <c r="J279" s="1"/>
    </row>
    <row r="280" customFormat="false" ht="21.75" hidden="false" customHeight="true" outlineLevel="0" collapsed="false">
      <c r="A280" s="1"/>
      <c r="B280" s="38"/>
      <c r="C280" s="31"/>
      <c r="D280" s="35" t="str">
        <f aca="false">IF(C280="","",IFERROR(INDEX(Products!$C$7:$C$104,MATCH(C280,Products!$B$7:$B$104,0)),"Unknown SKU"))</f>
        <v/>
      </c>
      <c r="E280" s="31"/>
      <c r="F280" s="31"/>
      <c r="G280" s="32"/>
      <c r="H280" s="33" t="str">
        <f aca="false">IF(C280="","",IF(G280="",IFERROR(INDEX(Products!$G$7:$G$104,MATCH(C280,Products!$B$7:$B$104,0)),0),G280))</f>
        <v/>
      </c>
      <c r="I280" s="33" t="str">
        <f aca="false">IF(C280="","",E280*H280)</f>
        <v/>
      </c>
      <c r="J280" s="1"/>
    </row>
    <row r="281" customFormat="false" ht="21.75" hidden="false" customHeight="true" outlineLevel="0" collapsed="false">
      <c r="A281" s="1"/>
      <c r="B281" s="38"/>
      <c r="C281" s="31"/>
      <c r="D281" s="35" t="str">
        <f aca="false">IF(C281="","",IFERROR(INDEX(Products!$C$7:$C$104,MATCH(C281,Products!$B$7:$B$104,0)),"Unknown SKU"))</f>
        <v/>
      </c>
      <c r="E281" s="31"/>
      <c r="F281" s="31"/>
      <c r="G281" s="32"/>
      <c r="H281" s="33" t="str">
        <f aca="false">IF(C281="","",IF(G281="",IFERROR(INDEX(Products!$G$7:$G$104,MATCH(C281,Products!$B$7:$B$104,0)),0),G281))</f>
        <v/>
      </c>
      <c r="I281" s="33" t="str">
        <f aca="false">IF(C281="","",E281*H281)</f>
        <v/>
      </c>
      <c r="J281" s="1"/>
    </row>
    <row r="282" customFormat="false" ht="21.75" hidden="false" customHeight="true" outlineLevel="0" collapsed="false">
      <c r="A282" s="1"/>
      <c r="B282" s="38"/>
      <c r="C282" s="31"/>
      <c r="D282" s="35" t="str">
        <f aca="false">IF(C282="","",IFERROR(INDEX(Products!$C$7:$C$104,MATCH(C282,Products!$B$7:$B$104,0)),"Unknown SKU"))</f>
        <v/>
      </c>
      <c r="E282" s="31"/>
      <c r="F282" s="31"/>
      <c r="G282" s="32"/>
      <c r="H282" s="33" t="str">
        <f aca="false">IF(C282="","",IF(G282="",IFERROR(INDEX(Products!$G$7:$G$104,MATCH(C282,Products!$B$7:$B$104,0)),0),G282))</f>
        <v/>
      </c>
      <c r="I282" s="33" t="str">
        <f aca="false">IF(C282="","",E282*H282)</f>
        <v/>
      </c>
      <c r="J282" s="1"/>
    </row>
    <row r="283" customFormat="false" ht="21.75" hidden="false" customHeight="true" outlineLevel="0" collapsed="false">
      <c r="A283" s="1"/>
      <c r="B283" s="38"/>
      <c r="C283" s="31"/>
      <c r="D283" s="35" t="str">
        <f aca="false">IF(C283="","",IFERROR(INDEX(Products!$C$7:$C$104,MATCH(C283,Products!$B$7:$B$104,0)),"Unknown SKU"))</f>
        <v/>
      </c>
      <c r="E283" s="31"/>
      <c r="F283" s="31"/>
      <c r="G283" s="32"/>
      <c r="H283" s="33" t="str">
        <f aca="false">IF(C283="","",IF(G283="",IFERROR(INDEX(Products!$G$7:$G$104,MATCH(C283,Products!$B$7:$B$104,0)),0),G283))</f>
        <v/>
      </c>
      <c r="I283" s="33" t="str">
        <f aca="false">IF(C283="","",E283*H283)</f>
        <v/>
      </c>
      <c r="J283" s="1"/>
    </row>
    <row r="284" customFormat="false" ht="21.75" hidden="false" customHeight="true" outlineLevel="0" collapsed="false">
      <c r="A284" s="1"/>
      <c r="B284" s="38"/>
      <c r="C284" s="31"/>
      <c r="D284" s="35" t="str">
        <f aca="false">IF(C284="","",IFERROR(INDEX(Products!$C$7:$C$104,MATCH(C284,Products!$B$7:$B$104,0)),"Unknown SKU"))</f>
        <v/>
      </c>
      <c r="E284" s="31"/>
      <c r="F284" s="31"/>
      <c r="G284" s="32"/>
      <c r="H284" s="33" t="str">
        <f aca="false">IF(C284="","",IF(G284="",IFERROR(INDEX(Products!$G$7:$G$104,MATCH(C284,Products!$B$7:$B$104,0)),0),G284))</f>
        <v/>
      </c>
      <c r="I284" s="33" t="str">
        <f aca="false">IF(C284="","",E284*H284)</f>
        <v/>
      </c>
      <c r="J284" s="1"/>
    </row>
    <row r="285" customFormat="false" ht="21.75" hidden="false" customHeight="true" outlineLevel="0" collapsed="false">
      <c r="A285" s="1"/>
      <c r="B285" s="38"/>
      <c r="C285" s="31"/>
      <c r="D285" s="35" t="str">
        <f aca="false">IF(C285="","",IFERROR(INDEX(Products!$C$7:$C$104,MATCH(C285,Products!$B$7:$B$104,0)),"Unknown SKU"))</f>
        <v/>
      </c>
      <c r="E285" s="31"/>
      <c r="F285" s="31"/>
      <c r="G285" s="32"/>
      <c r="H285" s="33" t="str">
        <f aca="false">IF(C285="","",IF(G285="",IFERROR(INDEX(Products!$G$7:$G$104,MATCH(C285,Products!$B$7:$B$104,0)),0),G285))</f>
        <v/>
      </c>
      <c r="I285" s="33" t="str">
        <f aca="false">IF(C285="","",E285*H285)</f>
        <v/>
      </c>
      <c r="J285" s="1"/>
    </row>
    <row r="286" customFormat="false" ht="21.75" hidden="false" customHeight="true" outlineLevel="0" collapsed="false">
      <c r="A286" s="1"/>
      <c r="B286" s="38"/>
      <c r="C286" s="31"/>
      <c r="D286" s="35" t="str">
        <f aca="false">IF(C286="","",IFERROR(INDEX(Products!$C$7:$C$104,MATCH(C286,Products!$B$7:$B$104,0)),"Unknown SKU"))</f>
        <v/>
      </c>
      <c r="E286" s="31"/>
      <c r="F286" s="31"/>
      <c r="G286" s="32"/>
      <c r="H286" s="33" t="str">
        <f aca="false">IF(C286="","",IF(G286="",IFERROR(INDEX(Products!$G$7:$G$104,MATCH(C286,Products!$B$7:$B$104,0)),0),G286))</f>
        <v/>
      </c>
      <c r="I286" s="33" t="str">
        <f aca="false">IF(C286="","",E286*H286)</f>
        <v/>
      </c>
      <c r="J286" s="1"/>
    </row>
    <row r="287" customFormat="false" ht="21.75" hidden="false" customHeight="true" outlineLevel="0" collapsed="false">
      <c r="A287" s="1"/>
      <c r="B287" s="38"/>
      <c r="C287" s="31"/>
      <c r="D287" s="35" t="str">
        <f aca="false">IF(C287="","",IFERROR(INDEX(Products!$C$7:$C$104,MATCH(C287,Products!$B$7:$B$104,0)),"Unknown SKU"))</f>
        <v/>
      </c>
      <c r="E287" s="31"/>
      <c r="F287" s="31"/>
      <c r="G287" s="32"/>
      <c r="H287" s="33" t="str">
        <f aca="false">IF(C287="","",IF(G287="",IFERROR(INDEX(Products!$G$7:$G$104,MATCH(C287,Products!$B$7:$B$104,0)),0),G287))</f>
        <v/>
      </c>
      <c r="I287" s="33" t="str">
        <f aca="false">IF(C287="","",E287*H287)</f>
        <v/>
      </c>
      <c r="J287" s="1"/>
    </row>
    <row r="288" customFormat="false" ht="21.75" hidden="false" customHeight="true" outlineLevel="0" collapsed="false">
      <c r="A288" s="1"/>
      <c r="B288" s="38"/>
      <c r="C288" s="31"/>
      <c r="D288" s="35" t="str">
        <f aca="false">IF(C288="","",IFERROR(INDEX(Products!$C$7:$C$104,MATCH(C288,Products!$B$7:$B$104,0)),"Unknown SKU"))</f>
        <v/>
      </c>
      <c r="E288" s="31"/>
      <c r="F288" s="31"/>
      <c r="G288" s="32"/>
      <c r="H288" s="33" t="str">
        <f aca="false">IF(C288="","",IF(G288="",IFERROR(INDEX(Products!$G$7:$G$104,MATCH(C288,Products!$B$7:$B$104,0)),0),G288))</f>
        <v/>
      </c>
      <c r="I288" s="33" t="str">
        <f aca="false">IF(C288="","",E288*H288)</f>
        <v/>
      </c>
      <c r="J288" s="1"/>
    </row>
    <row r="289" customFormat="false" ht="21.75" hidden="false" customHeight="true" outlineLevel="0" collapsed="false">
      <c r="A289" s="1"/>
      <c r="B289" s="38"/>
      <c r="C289" s="31"/>
      <c r="D289" s="35" t="str">
        <f aca="false">IF(C289="","",IFERROR(INDEX(Products!$C$7:$C$104,MATCH(C289,Products!$B$7:$B$104,0)),"Unknown SKU"))</f>
        <v/>
      </c>
      <c r="E289" s="31"/>
      <c r="F289" s="31"/>
      <c r="G289" s="32"/>
      <c r="H289" s="33" t="str">
        <f aca="false">IF(C289="","",IF(G289="",IFERROR(INDEX(Products!$G$7:$G$104,MATCH(C289,Products!$B$7:$B$104,0)),0),G289))</f>
        <v/>
      </c>
      <c r="I289" s="33" t="str">
        <f aca="false">IF(C289="","",E289*H289)</f>
        <v/>
      </c>
      <c r="J289" s="1"/>
    </row>
    <row r="290" customFormat="false" ht="21.75" hidden="false" customHeight="true" outlineLevel="0" collapsed="false">
      <c r="A290" s="1"/>
      <c r="B290" s="38"/>
      <c r="C290" s="31"/>
      <c r="D290" s="35" t="str">
        <f aca="false">IF(C290="","",IFERROR(INDEX(Products!$C$7:$C$104,MATCH(C290,Products!$B$7:$B$104,0)),"Unknown SKU"))</f>
        <v/>
      </c>
      <c r="E290" s="31"/>
      <c r="F290" s="31"/>
      <c r="G290" s="32"/>
      <c r="H290" s="33" t="str">
        <f aca="false">IF(C290="","",IF(G290="",IFERROR(INDEX(Products!$G$7:$G$104,MATCH(C290,Products!$B$7:$B$104,0)),0),G290))</f>
        <v/>
      </c>
      <c r="I290" s="33" t="str">
        <f aca="false">IF(C290="","",E290*H290)</f>
        <v/>
      </c>
      <c r="J290" s="1"/>
    </row>
    <row r="291" customFormat="false" ht="21.75" hidden="false" customHeight="true" outlineLevel="0" collapsed="false">
      <c r="A291" s="1"/>
      <c r="B291" s="38"/>
      <c r="C291" s="31"/>
      <c r="D291" s="35" t="str">
        <f aca="false">IF(C291="","",IFERROR(INDEX(Products!$C$7:$C$104,MATCH(C291,Products!$B$7:$B$104,0)),"Unknown SKU"))</f>
        <v/>
      </c>
      <c r="E291" s="31"/>
      <c r="F291" s="31"/>
      <c r="G291" s="32"/>
      <c r="H291" s="33" t="str">
        <f aca="false">IF(C291="","",IF(G291="",IFERROR(INDEX(Products!$G$7:$G$104,MATCH(C291,Products!$B$7:$B$104,0)),0),G291))</f>
        <v/>
      </c>
      <c r="I291" s="33" t="str">
        <f aca="false">IF(C291="","",E291*H291)</f>
        <v/>
      </c>
      <c r="J291" s="1"/>
    </row>
    <row r="292" customFormat="false" ht="21.75" hidden="false" customHeight="true" outlineLevel="0" collapsed="false">
      <c r="A292" s="1"/>
      <c r="B292" s="38"/>
      <c r="C292" s="31"/>
      <c r="D292" s="35" t="str">
        <f aca="false">IF(C292="","",IFERROR(INDEX(Products!$C$7:$C$104,MATCH(C292,Products!$B$7:$B$104,0)),"Unknown SKU"))</f>
        <v/>
      </c>
      <c r="E292" s="31"/>
      <c r="F292" s="31"/>
      <c r="G292" s="32"/>
      <c r="H292" s="33" t="str">
        <f aca="false">IF(C292="","",IF(G292="",IFERROR(INDEX(Products!$G$7:$G$104,MATCH(C292,Products!$B$7:$B$104,0)),0),G292))</f>
        <v/>
      </c>
      <c r="I292" s="33" t="str">
        <f aca="false">IF(C292="","",E292*H292)</f>
        <v/>
      </c>
      <c r="J292" s="1"/>
    </row>
    <row r="293" customFormat="false" ht="21.75" hidden="false" customHeight="true" outlineLevel="0" collapsed="false">
      <c r="A293" s="1"/>
      <c r="B293" s="38"/>
      <c r="C293" s="31"/>
      <c r="D293" s="35" t="str">
        <f aca="false">IF(C293="","",IFERROR(INDEX(Products!$C$7:$C$104,MATCH(C293,Products!$B$7:$B$104,0)),"Unknown SKU"))</f>
        <v/>
      </c>
      <c r="E293" s="31"/>
      <c r="F293" s="31"/>
      <c r="G293" s="32"/>
      <c r="H293" s="33" t="str">
        <f aca="false">IF(C293="","",IF(G293="",IFERROR(INDEX(Products!$G$7:$G$104,MATCH(C293,Products!$B$7:$B$104,0)),0),G293))</f>
        <v/>
      </c>
      <c r="I293" s="33" t="str">
        <f aca="false">IF(C293="","",E293*H293)</f>
        <v/>
      </c>
      <c r="J293" s="1"/>
    </row>
    <row r="294" customFormat="false" ht="21.75" hidden="false" customHeight="true" outlineLevel="0" collapsed="false">
      <c r="A294" s="1"/>
      <c r="B294" s="38"/>
      <c r="C294" s="31"/>
      <c r="D294" s="35" t="str">
        <f aca="false">IF(C294="","",IFERROR(INDEX(Products!$C$7:$C$104,MATCH(C294,Products!$B$7:$B$104,0)),"Unknown SKU"))</f>
        <v/>
      </c>
      <c r="E294" s="31"/>
      <c r="F294" s="31"/>
      <c r="G294" s="32"/>
      <c r="H294" s="33" t="str">
        <f aca="false">IF(C294="","",IF(G294="",IFERROR(INDEX(Products!$G$7:$G$104,MATCH(C294,Products!$B$7:$B$104,0)),0),G294))</f>
        <v/>
      </c>
      <c r="I294" s="33" t="str">
        <f aca="false">IF(C294="","",E294*H294)</f>
        <v/>
      </c>
      <c r="J294" s="1"/>
    </row>
    <row r="295" customFormat="false" ht="21.75" hidden="false" customHeight="true" outlineLevel="0" collapsed="false">
      <c r="A295" s="1"/>
      <c r="B295" s="38"/>
      <c r="C295" s="31"/>
      <c r="D295" s="35" t="str">
        <f aca="false">IF(C295="","",IFERROR(INDEX(Products!$C$7:$C$104,MATCH(C295,Products!$B$7:$B$104,0)),"Unknown SKU"))</f>
        <v/>
      </c>
      <c r="E295" s="31"/>
      <c r="F295" s="31"/>
      <c r="G295" s="32"/>
      <c r="H295" s="33" t="str">
        <f aca="false">IF(C295="","",IF(G295="",IFERROR(INDEX(Products!$G$7:$G$104,MATCH(C295,Products!$B$7:$B$104,0)),0),G295))</f>
        <v/>
      </c>
      <c r="I295" s="33" t="str">
        <f aca="false">IF(C295="","",E295*H295)</f>
        <v/>
      </c>
      <c r="J295" s="1"/>
    </row>
    <row r="296" customFormat="false" ht="21.75" hidden="false" customHeight="true" outlineLevel="0" collapsed="false">
      <c r="A296" s="1"/>
      <c r="B296" s="38"/>
      <c r="C296" s="31"/>
      <c r="D296" s="35" t="str">
        <f aca="false">IF(C296="","",IFERROR(INDEX(Products!$C$7:$C$104,MATCH(C296,Products!$B$7:$B$104,0)),"Unknown SKU"))</f>
        <v/>
      </c>
      <c r="E296" s="31"/>
      <c r="F296" s="31"/>
      <c r="G296" s="32"/>
      <c r="H296" s="33" t="str">
        <f aca="false">IF(C296="","",IF(G296="",IFERROR(INDEX(Products!$G$7:$G$104,MATCH(C296,Products!$B$7:$B$104,0)),0),G296))</f>
        <v/>
      </c>
      <c r="I296" s="33" t="str">
        <f aca="false">IF(C296="","",E296*H296)</f>
        <v/>
      </c>
      <c r="J296" s="1"/>
    </row>
    <row r="297" customFormat="false" ht="21.75" hidden="false" customHeight="true" outlineLevel="0" collapsed="false">
      <c r="A297" s="1"/>
      <c r="B297" s="38"/>
      <c r="C297" s="31"/>
      <c r="D297" s="35" t="str">
        <f aca="false">IF(C297="","",IFERROR(INDEX(Products!$C$7:$C$104,MATCH(C297,Products!$B$7:$B$104,0)),"Unknown SKU"))</f>
        <v/>
      </c>
      <c r="E297" s="31"/>
      <c r="F297" s="31"/>
      <c r="G297" s="32"/>
      <c r="H297" s="33" t="str">
        <f aca="false">IF(C297="","",IF(G297="",IFERROR(INDEX(Products!$G$7:$G$104,MATCH(C297,Products!$B$7:$B$104,0)),0),G297))</f>
        <v/>
      </c>
      <c r="I297" s="33" t="str">
        <f aca="false">IF(C297="","",E297*H297)</f>
        <v/>
      </c>
      <c r="J297" s="1"/>
    </row>
    <row r="298" customFormat="false" ht="21.75" hidden="false" customHeight="true" outlineLevel="0" collapsed="false">
      <c r="A298" s="1"/>
      <c r="B298" s="38"/>
      <c r="C298" s="31"/>
      <c r="D298" s="35" t="str">
        <f aca="false">IF(C298="","",IFERROR(INDEX(Products!$C$7:$C$104,MATCH(C298,Products!$B$7:$B$104,0)),"Unknown SKU"))</f>
        <v/>
      </c>
      <c r="E298" s="31"/>
      <c r="F298" s="31"/>
      <c r="G298" s="32"/>
      <c r="H298" s="33" t="str">
        <f aca="false">IF(C298="","",IF(G298="",IFERROR(INDEX(Products!$G$7:$G$104,MATCH(C298,Products!$B$7:$B$104,0)),0),G298))</f>
        <v/>
      </c>
      <c r="I298" s="33" t="str">
        <f aca="false">IF(C298="","",E298*H298)</f>
        <v/>
      </c>
      <c r="J298" s="1"/>
    </row>
    <row r="299" customFormat="false" ht="21.75" hidden="false" customHeight="true" outlineLevel="0" collapsed="false">
      <c r="A299" s="1"/>
      <c r="B299" s="38"/>
      <c r="C299" s="31"/>
      <c r="D299" s="35" t="str">
        <f aca="false">IF(C299="","",IFERROR(INDEX(Products!$C$7:$C$104,MATCH(C299,Products!$B$7:$B$104,0)),"Unknown SKU"))</f>
        <v/>
      </c>
      <c r="E299" s="31"/>
      <c r="F299" s="31"/>
      <c r="G299" s="32"/>
      <c r="H299" s="33" t="str">
        <f aca="false">IF(C299="","",IF(G299="",IFERROR(INDEX(Products!$G$7:$G$104,MATCH(C299,Products!$B$7:$B$104,0)),0),G299))</f>
        <v/>
      </c>
      <c r="I299" s="33" t="str">
        <f aca="false">IF(C299="","",E299*H299)</f>
        <v/>
      </c>
      <c r="J299" s="1"/>
    </row>
    <row r="300" customFormat="false" ht="21.75" hidden="false" customHeight="true" outlineLevel="0" collapsed="false">
      <c r="A300" s="1"/>
      <c r="B300" s="38"/>
      <c r="C300" s="31"/>
      <c r="D300" s="35" t="str">
        <f aca="false">IF(C300="","",IFERROR(INDEX(Products!$C$7:$C$104,MATCH(C300,Products!$B$7:$B$104,0)),"Unknown SKU"))</f>
        <v/>
      </c>
      <c r="E300" s="31"/>
      <c r="F300" s="31"/>
      <c r="G300" s="32"/>
      <c r="H300" s="33" t="str">
        <f aca="false">IF(C300="","",IF(G300="",IFERROR(INDEX(Products!$G$7:$G$104,MATCH(C300,Products!$B$7:$B$104,0)),0),G300))</f>
        <v/>
      </c>
      <c r="I300" s="33" t="str">
        <f aca="false">IF(C300="","",E300*H300)</f>
        <v/>
      </c>
      <c r="J300" s="1"/>
    </row>
    <row r="301" customFormat="false" ht="21.75" hidden="false" customHeight="true" outlineLevel="0" collapsed="false">
      <c r="A301" s="1"/>
      <c r="B301" s="38"/>
      <c r="C301" s="31"/>
      <c r="D301" s="35" t="str">
        <f aca="false">IF(C301="","",IFERROR(INDEX(Products!$C$7:$C$104,MATCH(C301,Products!$B$7:$B$104,0)),"Unknown SKU"))</f>
        <v/>
      </c>
      <c r="E301" s="31"/>
      <c r="F301" s="31"/>
      <c r="G301" s="32"/>
      <c r="H301" s="33" t="str">
        <f aca="false">IF(C301="","",IF(G301="",IFERROR(INDEX(Products!$G$7:$G$104,MATCH(C301,Products!$B$7:$B$104,0)),0),G301))</f>
        <v/>
      </c>
      <c r="I301" s="33" t="str">
        <f aca="false">IF(C301="","",E301*H301)</f>
        <v/>
      </c>
      <c r="J301" s="1"/>
    </row>
    <row r="302" customFormat="false" ht="21.75" hidden="false" customHeight="true" outlineLevel="0" collapsed="false">
      <c r="A302" s="1"/>
      <c r="B302" s="38"/>
      <c r="C302" s="31"/>
      <c r="D302" s="35" t="str">
        <f aca="false">IF(C302="","",IFERROR(INDEX(Products!$C$7:$C$104,MATCH(C302,Products!$B$7:$B$104,0)),"Unknown SKU"))</f>
        <v/>
      </c>
      <c r="E302" s="31"/>
      <c r="F302" s="31"/>
      <c r="G302" s="32"/>
      <c r="H302" s="33" t="str">
        <f aca="false">IF(C302="","",IF(G302="",IFERROR(INDEX(Products!$G$7:$G$104,MATCH(C302,Products!$B$7:$B$104,0)),0),G302))</f>
        <v/>
      </c>
      <c r="I302" s="33" t="str">
        <f aca="false">IF(C302="","",E302*H302)</f>
        <v/>
      </c>
      <c r="J302" s="1"/>
    </row>
    <row r="303" customFormat="false" ht="21.75" hidden="false" customHeight="true" outlineLevel="0" collapsed="false">
      <c r="A303" s="1"/>
      <c r="B303" s="38"/>
      <c r="C303" s="31"/>
      <c r="D303" s="35" t="str">
        <f aca="false">IF(C303="","",IFERROR(INDEX(Products!$C$7:$C$104,MATCH(C303,Products!$B$7:$B$104,0)),"Unknown SKU"))</f>
        <v/>
      </c>
      <c r="E303" s="31"/>
      <c r="F303" s="31"/>
      <c r="G303" s="32"/>
      <c r="H303" s="33" t="str">
        <f aca="false">IF(C303="","",IF(G303="",IFERROR(INDEX(Products!$G$7:$G$104,MATCH(C303,Products!$B$7:$B$104,0)),0),G303))</f>
        <v/>
      </c>
      <c r="I303" s="33" t="str">
        <f aca="false">IF(C303="","",E303*H303)</f>
        <v/>
      </c>
      <c r="J303" s="1"/>
    </row>
    <row r="304" customFormat="false" ht="21.75" hidden="false" customHeight="true" outlineLevel="0" collapsed="false">
      <c r="A304" s="1"/>
      <c r="B304" s="38"/>
      <c r="C304" s="31"/>
      <c r="D304" s="35" t="str">
        <f aca="false">IF(C304="","",IFERROR(INDEX(Products!$C$7:$C$104,MATCH(C304,Products!$B$7:$B$104,0)),"Unknown SKU"))</f>
        <v/>
      </c>
      <c r="E304" s="31"/>
      <c r="F304" s="31"/>
      <c r="G304" s="32"/>
      <c r="H304" s="33" t="str">
        <f aca="false">IF(C304="","",IF(G304="",IFERROR(INDEX(Products!$G$7:$G$104,MATCH(C304,Products!$B$7:$B$104,0)),0),G304))</f>
        <v/>
      </c>
      <c r="I304" s="33" t="str">
        <f aca="false">IF(C304="","",E304*H304)</f>
        <v/>
      </c>
      <c r="J304" s="1"/>
    </row>
    <row r="305" customFormat="false" ht="21.75" hidden="false" customHeight="true" outlineLevel="0" collapsed="false">
      <c r="A305" s="1"/>
      <c r="B305" s="38"/>
      <c r="C305" s="31"/>
      <c r="D305" s="35" t="str">
        <f aca="false">IF(C305="","",IFERROR(INDEX(Products!$C$7:$C$104,MATCH(C305,Products!$B$7:$B$104,0)),"Unknown SKU"))</f>
        <v/>
      </c>
      <c r="E305" s="31"/>
      <c r="F305" s="31"/>
      <c r="G305" s="32"/>
      <c r="H305" s="33" t="str">
        <f aca="false">IF(C305="","",IF(G305="",IFERROR(INDEX(Products!$G$7:$G$104,MATCH(C305,Products!$B$7:$B$104,0)),0),G305))</f>
        <v/>
      </c>
      <c r="I305" s="33" t="str">
        <f aca="false">IF(C305="","",E305*H305)</f>
        <v/>
      </c>
      <c r="J305" s="1"/>
    </row>
    <row r="306" customFormat="false" ht="21.75" hidden="false" customHeight="true" outlineLevel="0" collapsed="false">
      <c r="A306" s="1"/>
      <c r="B306" s="38"/>
      <c r="C306" s="31"/>
      <c r="D306" s="35" t="str">
        <f aca="false">IF(C306="","",IFERROR(INDEX(Products!$C$7:$C$104,MATCH(C306,Products!$B$7:$B$104,0)),"Unknown SKU"))</f>
        <v/>
      </c>
      <c r="E306" s="31"/>
      <c r="F306" s="31"/>
      <c r="G306" s="32"/>
      <c r="H306" s="33" t="str">
        <f aca="false">IF(C306="","",IF(G306="",IFERROR(INDEX(Products!$G$7:$G$104,MATCH(C306,Products!$B$7:$B$104,0)),0),G306))</f>
        <v/>
      </c>
      <c r="I306" s="33" t="str">
        <f aca="false">IF(C306="","",E306*H306)</f>
        <v/>
      </c>
      <c r="J306" s="1"/>
    </row>
    <row r="307" customFormat="false" ht="21.75" hidden="false" customHeight="true" outlineLevel="0" collapsed="false">
      <c r="A307" s="1"/>
      <c r="B307" s="38"/>
      <c r="C307" s="31"/>
      <c r="D307" s="35" t="str">
        <f aca="false">IF(C307="","",IFERROR(INDEX(Products!$C$7:$C$104,MATCH(C307,Products!$B$7:$B$104,0)),"Unknown SKU"))</f>
        <v/>
      </c>
      <c r="E307" s="31"/>
      <c r="F307" s="31"/>
      <c r="G307" s="32"/>
      <c r="H307" s="33" t="str">
        <f aca="false">IF(C307="","",IF(G307="",IFERROR(INDEX(Products!$G$7:$G$104,MATCH(C307,Products!$B$7:$B$104,0)),0),G307))</f>
        <v/>
      </c>
      <c r="I307" s="33" t="str">
        <f aca="false">IF(C307="","",E307*H307)</f>
        <v/>
      </c>
      <c r="J307" s="1"/>
    </row>
    <row r="308" customFormat="false" ht="21.75" hidden="false" customHeight="true" outlineLevel="0" collapsed="false">
      <c r="A308" s="1"/>
      <c r="B308" s="38"/>
      <c r="C308" s="31"/>
      <c r="D308" s="35" t="str">
        <f aca="false">IF(C308="","",IFERROR(INDEX(Products!$C$7:$C$104,MATCH(C308,Products!$B$7:$B$104,0)),"Unknown SKU"))</f>
        <v/>
      </c>
      <c r="E308" s="31"/>
      <c r="F308" s="31"/>
      <c r="G308" s="32"/>
      <c r="H308" s="33" t="str">
        <f aca="false">IF(C308="","",IF(G308="",IFERROR(INDEX(Products!$G$7:$G$104,MATCH(C308,Products!$B$7:$B$104,0)),0),G308))</f>
        <v/>
      </c>
      <c r="I308" s="33" t="str">
        <f aca="false">IF(C308="","",E308*H308)</f>
        <v/>
      </c>
      <c r="J308" s="1"/>
    </row>
    <row r="309" customFormat="false" ht="21.75" hidden="false" customHeight="true" outlineLevel="0" collapsed="false">
      <c r="A309" s="1"/>
      <c r="B309" s="38"/>
      <c r="C309" s="31"/>
      <c r="D309" s="35" t="str">
        <f aca="false">IF(C309="","",IFERROR(INDEX(Products!$C$7:$C$104,MATCH(C309,Products!$B$7:$B$104,0)),"Unknown SKU"))</f>
        <v/>
      </c>
      <c r="E309" s="31"/>
      <c r="F309" s="31"/>
      <c r="G309" s="32"/>
      <c r="H309" s="33" t="str">
        <f aca="false">IF(C309="","",IF(G309="",IFERROR(INDEX(Products!$G$7:$G$104,MATCH(C309,Products!$B$7:$B$104,0)),0),G309))</f>
        <v/>
      </c>
      <c r="I309" s="33" t="str">
        <f aca="false">IF(C309="","",E309*H309)</f>
        <v/>
      </c>
      <c r="J309" s="1"/>
    </row>
    <row r="310" customFormat="false" ht="21.75" hidden="false" customHeight="true" outlineLevel="0" collapsed="false">
      <c r="A310" s="1"/>
      <c r="B310" s="38"/>
      <c r="C310" s="31"/>
      <c r="D310" s="35" t="str">
        <f aca="false">IF(C310="","",IFERROR(INDEX(Products!$C$7:$C$104,MATCH(C310,Products!$B$7:$B$104,0)),"Unknown SKU"))</f>
        <v/>
      </c>
      <c r="E310" s="31"/>
      <c r="F310" s="31"/>
      <c r="G310" s="32"/>
      <c r="H310" s="33" t="str">
        <f aca="false">IF(C310="","",IF(G310="",IFERROR(INDEX(Products!$G$7:$G$104,MATCH(C310,Products!$B$7:$B$104,0)),0),G310))</f>
        <v/>
      </c>
      <c r="I310" s="33" t="str">
        <f aca="false">IF(C310="","",E310*H310)</f>
        <v/>
      </c>
      <c r="J310" s="1"/>
    </row>
    <row r="311" customFormat="false" ht="21.75" hidden="false" customHeight="true" outlineLevel="0" collapsed="false">
      <c r="A311" s="1"/>
      <c r="B311" s="38"/>
      <c r="C311" s="31"/>
      <c r="D311" s="35" t="str">
        <f aca="false">IF(C311="","",IFERROR(INDEX(Products!$C$7:$C$104,MATCH(C311,Products!$B$7:$B$104,0)),"Unknown SKU"))</f>
        <v/>
      </c>
      <c r="E311" s="31"/>
      <c r="F311" s="31"/>
      <c r="G311" s="32"/>
      <c r="H311" s="33" t="str">
        <f aca="false">IF(C311="","",IF(G311="",IFERROR(INDEX(Products!$G$7:$G$104,MATCH(C311,Products!$B$7:$B$104,0)),0),G311))</f>
        <v/>
      </c>
      <c r="I311" s="33" t="str">
        <f aca="false">IF(C311="","",E311*H311)</f>
        <v/>
      </c>
      <c r="J311" s="1"/>
    </row>
    <row r="312" customFormat="false" ht="21.75" hidden="false" customHeight="true" outlineLevel="0" collapsed="false">
      <c r="A312" s="1"/>
      <c r="B312" s="38"/>
      <c r="C312" s="31"/>
      <c r="D312" s="35" t="str">
        <f aca="false">IF(C312="","",IFERROR(INDEX(Products!$C$7:$C$104,MATCH(C312,Products!$B$7:$B$104,0)),"Unknown SKU"))</f>
        <v/>
      </c>
      <c r="E312" s="31"/>
      <c r="F312" s="31"/>
      <c r="G312" s="32"/>
      <c r="H312" s="33" t="str">
        <f aca="false">IF(C312="","",IF(G312="",IFERROR(INDEX(Products!$G$7:$G$104,MATCH(C312,Products!$B$7:$B$104,0)),0),G312))</f>
        <v/>
      </c>
      <c r="I312" s="33" t="str">
        <f aca="false">IF(C312="","",E312*H312)</f>
        <v/>
      </c>
      <c r="J312" s="1"/>
    </row>
    <row r="313" customFormat="false" ht="21.75" hidden="false" customHeight="true" outlineLevel="0" collapsed="false">
      <c r="A313" s="1"/>
      <c r="B313" s="38"/>
      <c r="C313" s="31"/>
      <c r="D313" s="35" t="str">
        <f aca="false">IF(C313="","",IFERROR(INDEX(Products!$C$7:$C$104,MATCH(C313,Products!$B$7:$B$104,0)),"Unknown SKU"))</f>
        <v/>
      </c>
      <c r="E313" s="31"/>
      <c r="F313" s="31"/>
      <c r="G313" s="32"/>
      <c r="H313" s="33" t="str">
        <f aca="false">IF(C313="","",IF(G313="",IFERROR(INDEX(Products!$G$7:$G$104,MATCH(C313,Products!$B$7:$B$104,0)),0),G313))</f>
        <v/>
      </c>
      <c r="I313" s="33" t="str">
        <f aca="false">IF(C313="","",E313*H313)</f>
        <v/>
      </c>
      <c r="J313" s="1"/>
    </row>
    <row r="314" customFormat="false" ht="21.75" hidden="false" customHeight="true" outlineLevel="0" collapsed="false">
      <c r="A314" s="1"/>
      <c r="B314" s="38"/>
      <c r="C314" s="31"/>
      <c r="D314" s="35" t="str">
        <f aca="false">IF(C314="","",IFERROR(INDEX(Products!$C$7:$C$104,MATCH(C314,Products!$B$7:$B$104,0)),"Unknown SKU"))</f>
        <v/>
      </c>
      <c r="E314" s="31"/>
      <c r="F314" s="31"/>
      <c r="G314" s="32"/>
      <c r="H314" s="33" t="str">
        <f aca="false">IF(C314="","",IF(G314="",IFERROR(INDEX(Products!$G$7:$G$104,MATCH(C314,Products!$B$7:$B$104,0)),0),G314))</f>
        <v/>
      </c>
      <c r="I314" s="33" t="str">
        <f aca="false">IF(C314="","",E314*H314)</f>
        <v/>
      </c>
      <c r="J314" s="1"/>
    </row>
    <row r="315" customFormat="false" ht="21.75" hidden="false" customHeight="true" outlineLevel="0" collapsed="false">
      <c r="A315" s="1"/>
      <c r="B315" s="38"/>
      <c r="C315" s="31"/>
      <c r="D315" s="35" t="str">
        <f aca="false">IF(C315="","",IFERROR(INDEX(Products!$C$7:$C$104,MATCH(C315,Products!$B$7:$B$104,0)),"Unknown SKU"))</f>
        <v/>
      </c>
      <c r="E315" s="31"/>
      <c r="F315" s="31"/>
      <c r="G315" s="32"/>
      <c r="H315" s="33" t="str">
        <f aca="false">IF(C315="","",IF(G315="",IFERROR(INDEX(Products!$G$7:$G$104,MATCH(C315,Products!$B$7:$B$104,0)),0),G315))</f>
        <v/>
      </c>
      <c r="I315" s="33" t="str">
        <f aca="false">IF(C315="","",E315*H315)</f>
        <v/>
      </c>
      <c r="J315" s="1"/>
    </row>
    <row r="316" customFormat="false" ht="21.75" hidden="false" customHeight="true" outlineLevel="0" collapsed="false">
      <c r="A316" s="1"/>
      <c r="B316" s="38"/>
      <c r="C316" s="31"/>
      <c r="D316" s="35" t="str">
        <f aca="false">IF(C316="","",IFERROR(INDEX(Products!$C$7:$C$104,MATCH(C316,Products!$B$7:$B$104,0)),"Unknown SKU"))</f>
        <v/>
      </c>
      <c r="E316" s="31"/>
      <c r="F316" s="31"/>
      <c r="G316" s="32"/>
      <c r="H316" s="33" t="str">
        <f aca="false">IF(C316="","",IF(G316="",IFERROR(INDEX(Products!$G$7:$G$104,MATCH(C316,Products!$B$7:$B$104,0)),0),G316))</f>
        <v/>
      </c>
      <c r="I316" s="33" t="str">
        <f aca="false">IF(C316="","",E316*H316)</f>
        <v/>
      </c>
      <c r="J316" s="1"/>
    </row>
    <row r="317" customFormat="false" ht="21.75" hidden="false" customHeight="true" outlineLevel="0" collapsed="false">
      <c r="A317" s="1"/>
      <c r="B317" s="38"/>
      <c r="C317" s="31"/>
      <c r="D317" s="35" t="str">
        <f aca="false">IF(C317="","",IFERROR(INDEX(Products!$C$7:$C$104,MATCH(C317,Products!$B$7:$B$104,0)),"Unknown SKU"))</f>
        <v/>
      </c>
      <c r="E317" s="31"/>
      <c r="F317" s="31"/>
      <c r="G317" s="32"/>
      <c r="H317" s="33" t="str">
        <f aca="false">IF(C317="","",IF(G317="",IFERROR(INDEX(Products!$G$7:$G$104,MATCH(C317,Products!$B$7:$B$104,0)),0),G317))</f>
        <v/>
      </c>
      <c r="I317" s="33" t="str">
        <f aca="false">IF(C317="","",E317*H317)</f>
        <v/>
      </c>
      <c r="J317" s="1"/>
    </row>
    <row r="318" customFormat="false" ht="21.75" hidden="false" customHeight="true" outlineLevel="0" collapsed="false">
      <c r="A318" s="1"/>
      <c r="B318" s="38"/>
      <c r="C318" s="31"/>
      <c r="D318" s="35" t="str">
        <f aca="false">IF(C318="","",IFERROR(INDEX(Products!$C$7:$C$104,MATCH(C318,Products!$B$7:$B$104,0)),"Unknown SKU"))</f>
        <v/>
      </c>
      <c r="E318" s="31"/>
      <c r="F318" s="31"/>
      <c r="G318" s="32"/>
      <c r="H318" s="33" t="str">
        <f aca="false">IF(C318="","",IF(G318="",IFERROR(INDEX(Products!$G$7:$G$104,MATCH(C318,Products!$B$7:$B$104,0)),0),G318))</f>
        <v/>
      </c>
      <c r="I318" s="33" t="str">
        <f aca="false">IF(C318="","",E318*H318)</f>
        <v/>
      </c>
      <c r="J318" s="1"/>
    </row>
    <row r="319" customFormat="false" ht="21.75" hidden="false" customHeight="true" outlineLevel="0" collapsed="false">
      <c r="A319" s="1"/>
      <c r="B319" s="38"/>
      <c r="C319" s="31"/>
      <c r="D319" s="35" t="str">
        <f aca="false">IF(C319="","",IFERROR(INDEX(Products!$C$7:$C$104,MATCH(C319,Products!$B$7:$B$104,0)),"Unknown SKU"))</f>
        <v/>
      </c>
      <c r="E319" s="31"/>
      <c r="F319" s="31"/>
      <c r="G319" s="32"/>
      <c r="H319" s="33" t="str">
        <f aca="false">IF(C319="","",IF(G319="",IFERROR(INDEX(Products!$G$7:$G$104,MATCH(C319,Products!$B$7:$B$104,0)),0),G319))</f>
        <v/>
      </c>
      <c r="I319" s="33" t="str">
        <f aca="false">IF(C319="","",E319*H319)</f>
        <v/>
      </c>
      <c r="J319" s="1"/>
    </row>
    <row r="320" customFormat="false" ht="21.75" hidden="false" customHeight="true" outlineLevel="0" collapsed="false">
      <c r="A320" s="1"/>
      <c r="B320" s="38"/>
      <c r="C320" s="31"/>
      <c r="D320" s="35" t="str">
        <f aca="false">IF(C320="","",IFERROR(INDEX(Products!$C$7:$C$104,MATCH(C320,Products!$B$7:$B$104,0)),"Unknown SKU"))</f>
        <v/>
      </c>
      <c r="E320" s="31"/>
      <c r="F320" s="31"/>
      <c r="G320" s="32"/>
      <c r="H320" s="33" t="str">
        <f aca="false">IF(C320="","",IF(G320="",IFERROR(INDEX(Products!$G$7:$G$104,MATCH(C320,Products!$B$7:$B$104,0)),0),G320))</f>
        <v/>
      </c>
      <c r="I320" s="33" t="str">
        <f aca="false">IF(C320="","",E320*H320)</f>
        <v/>
      </c>
      <c r="J320" s="1"/>
    </row>
    <row r="321" customFormat="false" ht="21.75" hidden="false" customHeight="true" outlineLevel="0" collapsed="false">
      <c r="A321" s="1"/>
      <c r="B321" s="38"/>
      <c r="C321" s="31"/>
      <c r="D321" s="35" t="str">
        <f aca="false">IF(C321="","",IFERROR(INDEX(Products!$C$7:$C$104,MATCH(C321,Products!$B$7:$B$104,0)),"Unknown SKU"))</f>
        <v/>
      </c>
      <c r="E321" s="31"/>
      <c r="F321" s="31"/>
      <c r="G321" s="32"/>
      <c r="H321" s="33" t="str">
        <f aca="false">IF(C321="","",IF(G321="",IFERROR(INDEX(Products!$G$7:$G$104,MATCH(C321,Products!$B$7:$B$104,0)),0),G321))</f>
        <v/>
      </c>
      <c r="I321" s="33" t="str">
        <f aca="false">IF(C321="","",E321*H321)</f>
        <v/>
      </c>
      <c r="J321" s="1"/>
    </row>
    <row r="322" customFormat="false" ht="21.75" hidden="false" customHeight="true" outlineLevel="0" collapsed="false">
      <c r="A322" s="1"/>
      <c r="B322" s="38"/>
      <c r="C322" s="31"/>
      <c r="D322" s="35" t="str">
        <f aca="false">IF(C322="","",IFERROR(INDEX(Products!$C$7:$C$104,MATCH(C322,Products!$B$7:$B$104,0)),"Unknown SKU"))</f>
        <v/>
      </c>
      <c r="E322" s="31"/>
      <c r="F322" s="31"/>
      <c r="G322" s="32"/>
      <c r="H322" s="33" t="str">
        <f aca="false">IF(C322="","",IF(G322="",IFERROR(INDEX(Products!$G$7:$G$104,MATCH(C322,Products!$B$7:$B$104,0)),0),G322))</f>
        <v/>
      </c>
      <c r="I322" s="33" t="str">
        <f aca="false">IF(C322="","",E322*H322)</f>
        <v/>
      </c>
      <c r="J322" s="1"/>
    </row>
    <row r="323" customFormat="false" ht="21.75" hidden="false" customHeight="true" outlineLevel="0" collapsed="false">
      <c r="A323" s="1"/>
      <c r="B323" s="38"/>
      <c r="C323" s="31"/>
      <c r="D323" s="35" t="str">
        <f aca="false">IF(C323="","",IFERROR(INDEX(Products!$C$7:$C$104,MATCH(C323,Products!$B$7:$B$104,0)),"Unknown SKU"))</f>
        <v/>
      </c>
      <c r="E323" s="31"/>
      <c r="F323" s="31"/>
      <c r="G323" s="32"/>
      <c r="H323" s="33" t="str">
        <f aca="false">IF(C323="","",IF(G323="",IFERROR(INDEX(Products!$G$7:$G$104,MATCH(C323,Products!$B$7:$B$104,0)),0),G323))</f>
        <v/>
      </c>
      <c r="I323" s="33" t="str">
        <f aca="false">IF(C323="","",E323*H323)</f>
        <v/>
      </c>
      <c r="J323" s="1"/>
    </row>
    <row r="324" customFormat="false" ht="21.75" hidden="false" customHeight="true" outlineLevel="0" collapsed="false">
      <c r="A324" s="1"/>
      <c r="B324" s="38"/>
      <c r="C324" s="31"/>
      <c r="D324" s="35" t="str">
        <f aca="false">IF(C324="","",IFERROR(INDEX(Products!$C$7:$C$104,MATCH(C324,Products!$B$7:$B$104,0)),"Unknown SKU"))</f>
        <v/>
      </c>
      <c r="E324" s="31"/>
      <c r="F324" s="31"/>
      <c r="G324" s="32"/>
      <c r="H324" s="33" t="str">
        <f aca="false">IF(C324="","",IF(G324="",IFERROR(INDEX(Products!$G$7:$G$104,MATCH(C324,Products!$B$7:$B$104,0)),0),G324))</f>
        <v/>
      </c>
      <c r="I324" s="33" t="str">
        <f aca="false">IF(C324="","",E324*H324)</f>
        <v/>
      </c>
      <c r="J324" s="1"/>
    </row>
    <row r="325" customFormat="false" ht="21.75" hidden="false" customHeight="true" outlineLevel="0" collapsed="false">
      <c r="A325" s="1"/>
      <c r="B325" s="38"/>
      <c r="C325" s="31"/>
      <c r="D325" s="35" t="str">
        <f aca="false">IF(C325="","",IFERROR(INDEX(Products!$C$7:$C$104,MATCH(C325,Products!$B$7:$B$104,0)),"Unknown SKU"))</f>
        <v/>
      </c>
      <c r="E325" s="31"/>
      <c r="F325" s="31"/>
      <c r="G325" s="32"/>
      <c r="H325" s="33" t="str">
        <f aca="false">IF(C325="","",IF(G325="",IFERROR(INDEX(Products!$G$7:$G$104,MATCH(C325,Products!$B$7:$B$104,0)),0),G325))</f>
        <v/>
      </c>
      <c r="I325" s="33" t="str">
        <f aca="false">IF(C325="","",E325*H325)</f>
        <v/>
      </c>
      <c r="J325" s="1"/>
    </row>
    <row r="326" customFormat="false" ht="21.75" hidden="false" customHeight="true" outlineLevel="0" collapsed="false">
      <c r="A326" s="1"/>
      <c r="B326" s="38"/>
      <c r="C326" s="31"/>
      <c r="D326" s="35" t="str">
        <f aca="false">IF(C326="","",IFERROR(INDEX(Products!$C$7:$C$104,MATCH(C326,Products!$B$7:$B$104,0)),"Unknown SKU"))</f>
        <v/>
      </c>
      <c r="E326" s="31"/>
      <c r="F326" s="31"/>
      <c r="G326" s="32"/>
      <c r="H326" s="33" t="str">
        <f aca="false">IF(C326="","",IF(G326="",IFERROR(INDEX(Products!$G$7:$G$104,MATCH(C326,Products!$B$7:$B$104,0)),0),G326))</f>
        <v/>
      </c>
      <c r="I326" s="33" t="str">
        <f aca="false">IF(C326="","",E326*H326)</f>
        <v/>
      </c>
      <c r="J326" s="1"/>
    </row>
    <row r="327" customFormat="false" ht="21.75" hidden="false" customHeight="true" outlineLevel="0" collapsed="false">
      <c r="A327" s="1"/>
      <c r="B327" s="38"/>
      <c r="C327" s="31"/>
      <c r="D327" s="35" t="str">
        <f aca="false">IF(C327="","",IFERROR(INDEX(Products!$C$7:$C$104,MATCH(C327,Products!$B$7:$B$104,0)),"Unknown SKU"))</f>
        <v/>
      </c>
      <c r="E327" s="31"/>
      <c r="F327" s="31"/>
      <c r="G327" s="32"/>
      <c r="H327" s="33" t="str">
        <f aca="false">IF(C327="","",IF(G327="",IFERROR(INDEX(Products!$G$7:$G$104,MATCH(C327,Products!$B$7:$B$104,0)),0),G327))</f>
        <v/>
      </c>
      <c r="I327" s="33" t="str">
        <f aca="false">IF(C327="","",E327*H327)</f>
        <v/>
      </c>
      <c r="J327" s="1"/>
    </row>
    <row r="328" customFormat="false" ht="21.75" hidden="false" customHeight="true" outlineLevel="0" collapsed="false">
      <c r="A328" s="1"/>
      <c r="B328" s="38"/>
      <c r="C328" s="31"/>
      <c r="D328" s="35" t="str">
        <f aca="false">IF(C328="","",IFERROR(INDEX(Products!$C$7:$C$104,MATCH(C328,Products!$B$7:$B$104,0)),"Unknown SKU"))</f>
        <v/>
      </c>
      <c r="E328" s="31"/>
      <c r="F328" s="31"/>
      <c r="G328" s="32"/>
      <c r="H328" s="33" t="str">
        <f aca="false">IF(C328="","",IF(G328="",IFERROR(INDEX(Products!$G$7:$G$104,MATCH(C328,Products!$B$7:$B$104,0)),0),G328))</f>
        <v/>
      </c>
      <c r="I328" s="33" t="str">
        <f aca="false">IF(C328="","",E328*H328)</f>
        <v/>
      </c>
      <c r="J328" s="1"/>
    </row>
    <row r="329" customFormat="false" ht="21.75" hidden="false" customHeight="true" outlineLevel="0" collapsed="false">
      <c r="A329" s="1"/>
      <c r="B329" s="38"/>
      <c r="C329" s="31"/>
      <c r="D329" s="35" t="str">
        <f aca="false">IF(C329="","",IFERROR(INDEX(Products!$C$7:$C$104,MATCH(C329,Products!$B$7:$B$104,0)),"Unknown SKU"))</f>
        <v/>
      </c>
      <c r="E329" s="31"/>
      <c r="F329" s="31"/>
      <c r="G329" s="32"/>
      <c r="H329" s="33" t="str">
        <f aca="false">IF(C329="","",IF(G329="",IFERROR(INDEX(Products!$G$7:$G$104,MATCH(C329,Products!$B$7:$B$104,0)),0),G329))</f>
        <v/>
      </c>
      <c r="I329" s="33" t="str">
        <f aca="false">IF(C329="","",E329*H329)</f>
        <v/>
      </c>
      <c r="J329" s="1"/>
    </row>
    <row r="330" customFormat="false" ht="21.75" hidden="false" customHeight="true" outlineLevel="0" collapsed="false">
      <c r="A330" s="1"/>
      <c r="B330" s="38"/>
      <c r="C330" s="31"/>
      <c r="D330" s="35" t="str">
        <f aca="false">IF(C330="","",IFERROR(INDEX(Products!$C$7:$C$104,MATCH(C330,Products!$B$7:$B$104,0)),"Unknown SKU"))</f>
        <v/>
      </c>
      <c r="E330" s="31"/>
      <c r="F330" s="31"/>
      <c r="G330" s="32"/>
      <c r="H330" s="33" t="str">
        <f aca="false">IF(C330="","",IF(G330="",IFERROR(INDEX(Products!$G$7:$G$104,MATCH(C330,Products!$B$7:$B$104,0)),0),G330))</f>
        <v/>
      </c>
      <c r="I330" s="33" t="str">
        <f aca="false">IF(C330="","",E330*H330)</f>
        <v/>
      </c>
      <c r="J330" s="1"/>
    </row>
    <row r="331" customFormat="false" ht="21.75" hidden="false" customHeight="true" outlineLevel="0" collapsed="false">
      <c r="A331" s="1"/>
      <c r="B331" s="38"/>
      <c r="C331" s="31"/>
      <c r="D331" s="35" t="str">
        <f aca="false">IF(C331="","",IFERROR(INDEX(Products!$C$7:$C$104,MATCH(C331,Products!$B$7:$B$104,0)),"Unknown SKU"))</f>
        <v/>
      </c>
      <c r="E331" s="31"/>
      <c r="F331" s="31"/>
      <c r="G331" s="32"/>
      <c r="H331" s="33" t="str">
        <f aca="false">IF(C331="","",IF(G331="",IFERROR(INDEX(Products!$G$7:$G$104,MATCH(C331,Products!$B$7:$B$104,0)),0),G331))</f>
        <v/>
      </c>
      <c r="I331" s="33" t="str">
        <f aca="false">IF(C331="","",E331*H331)</f>
        <v/>
      </c>
      <c r="J331" s="1"/>
    </row>
    <row r="332" customFormat="false" ht="21.75" hidden="false" customHeight="true" outlineLevel="0" collapsed="false">
      <c r="A332" s="1"/>
      <c r="B332" s="38"/>
      <c r="C332" s="31"/>
      <c r="D332" s="35" t="str">
        <f aca="false">IF(C332="","",IFERROR(INDEX(Products!$C$7:$C$104,MATCH(C332,Products!$B$7:$B$104,0)),"Unknown SKU"))</f>
        <v/>
      </c>
      <c r="E332" s="31"/>
      <c r="F332" s="31"/>
      <c r="G332" s="32"/>
      <c r="H332" s="33" t="str">
        <f aca="false">IF(C332="","",IF(G332="",IFERROR(INDEX(Products!$G$7:$G$104,MATCH(C332,Products!$B$7:$B$104,0)),0),G332))</f>
        <v/>
      </c>
      <c r="I332" s="33" t="str">
        <f aca="false">IF(C332="","",E332*H332)</f>
        <v/>
      </c>
      <c r="J332" s="1"/>
    </row>
    <row r="333" customFormat="false" ht="21.75" hidden="false" customHeight="true" outlineLevel="0" collapsed="false">
      <c r="A333" s="1"/>
      <c r="B333" s="38"/>
      <c r="C333" s="31"/>
      <c r="D333" s="35" t="str">
        <f aca="false">IF(C333="","",IFERROR(INDEX(Products!$C$7:$C$104,MATCH(C333,Products!$B$7:$B$104,0)),"Unknown SKU"))</f>
        <v/>
      </c>
      <c r="E333" s="31"/>
      <c r="F333" s="31"/>
      <c r="G333" s="32"/>
      <c r="H333" s="33" t="str">
        <f aca="false">IF(C333="","",IF(G333="",IFERROR(INDEX(Products!$G$7:$G$104,MATCH(C333,Products!$B$7:$B$104,0)),0),G333))</f>
        <v/>
      </c>
      <c r="I333" s="33" t="str">
        <f aca="false">IF(C333="","",E333*H333)</f>
        <v/>
      </c>
      <c r="J333" s="1"/>
    </row>
    <row r="334" customFormat="false" ht="21.75" hidden="false" customHeight="true" outlineLevel="0" collapsed="false">
      <c r="A334" s="1"/>
      <c r="B334" s="38"/>
      <c r="C334" s="31"/>
      <c r="D334" s="35" t="str">
        <f aca="false">IF(C334="","",IFERROR(INDEX(Products!$C$7:$C$104,MATCH(C334,Products!$B$7:$B$104,0)),"Unknown SKU"))</f>
        <v/>
      </c>
      <c r="E334" s="31"/>
      <c r="F334" s="31"/>
      <c r="G334" s="32"/>
      <c r="H334" s="33" t="str">
        <f aca="false">IF(C334="","",IF(G334="",IFERROR(INDEX(Products!$G$7:$G$104,MATCH(C334,Products!$B$7:$B$104,0)),0),G334))</f>
        <v/>
      </c>
      <c r="I334" s="33" t="str">
        <f aca="false">IF(C334="","",E334*H334)</f>
        <v/>
      </c>
      <c r="J334" s="1"/>
    </row>
    <row r="335" customFormat="false" ht="21.75" hidden="false" customHeight="true" outlineLevel="0" collapsed="false">
      <c r="A335" s="1"/>
      <c r="B335" s="38"/>
      <c r="C335" s="31"/>
      <c r="D335" s="35" t="str">
        <f aca="false">IF(C335="","",IFERROR(INDEX(Products!$C$7:$C$104,MATCH(C335,Products!$B$7:$B$104,0)),"Unknown SKU"))</f>
        <v/>
      </c>
      <c r="E335" s="31"/>
      <c r="F335" s="31"/>
      <c r="G335" s="32"/>
      <c r="H335" s="33" t="str">
        <f aca="false">IF(C335="","",IF(G335="",IFERROR(INDEX(Products!$G$7:$G$104,MATCH(C335,Products!$B$7:$B$104,0)),0),G335))</f>
        <v/>
      </c>
      <c r="I335" s="33" t="str">
        <f aca="false">IF(C335="","",E335*H335)</f>
        <v/>
      </c>
      <c r="J335" s="1"/>
    </row>
    <row r="336" customFormat="false" ht="21.75" hidden="false" customHeight="true" outlineLevel="0" collapsed="false">
      <c r="A336" s="1"/>
      <c r="B336" s="38"/>
      <c r="C336" s="31"/>
      <c r="D336" s="35" t="str">
        <f aca="false">IF(C336="","",IFERROR(INDEX(Products!$C$7:$C$104,MATCH(C336,Products!$B$7:$B$104,0)),"Unknown SKU"))</f>
        <v/>
      </c>
      <c r="E336" s="31"/>
      <c r="F336" s="31"/>
      <c r="G336" s="32"/>
      <c r="H336" s="33" t="str">
        <f aca="false">IF(C336="","",IF(G336="",IFERROR(INDEX(Products!$G$7:$G$104,MATCH(C336,Products!$B$7:$B$104,0)),0),G336))</f>
        <v/>
      </c>
      <c r="I336" s="33" t="str">
        <f aca="false">IF(C336="","",E336*H336)</f>
        <v/>
      </c>
      <c r="J336" s="1"/>
    </row>
    <row r="337" customFormat="false" ht="21.75" hidden="false" customHeight="true" outlineLevel="0" collapsed="false">
      <c r="A337" s="1"/>
      <c r="B337" s="38"/>
      <c r="C337" s="31"/>
      <c r="D337" s="35" t="str">
        <f aca="false">IF(C337="","",IFERROR(INDEX(Products!$C$7:$C$104,MATCH(C337,Products!$B$7:$B$104,0)),"Unknown SKU"))</f>
        <v/>
      </c>
      <c r="E337" s="31"/>
      <c r="F337" s="31"/>
      <c r="G337" s="32"/>
      <c r="H337" s="33" t="str">
        <f aca="false">IF(C337="","",IF(G337="",IFERROR(INDEX(Products!$G$7:$G$104,MATCH(C337,Products!$B$7:$B$104,0)),0),G337))</f>
        <v/>
      </c>
      <c r="I337" s="33" t="str">
        <f aca="false">IF(C337="","",E337*H337)</f>
        <v/>
      </c>
      <c r="J337" s="1"/>
    </row>
    <row r="338" customFormat="false" ht="21.75" hidden="false" customHeight="true" outlineLevel="0" collapsed="false">
      <c r="A338" s="1"/>
      <c r="B338" s="38"/>
      <c r="C338" s="31"/>
      <c r="D338" s="35" t="str">
        <f aca="false">IF(C338="","",IFERROR(INDEX(Products!$C$7:$C$104,MATCH(C338,Products!$B$7:$B$104,0)),"Unknown SKU"))</f>
        <v/>
      </c>
      <c r="E338" s="31"/>
      <c r="F338" s="31"/>
      <c r="G338" s="32"/>
      <c r="H338" s="33" t="str">
        <f aca="false">IF(C338="","",IF(G338="",IFERROR(INDEX(Products!$G$7:$G$104,MATCH(C338,Products!$B$7:$B$104,0)),0),G338))</f>
        <v/>
      </c>
      <c r="I338" s="33" t="str">
        <f aca="false">IF(C338="","",E338*H338)</f>
        <v/>
      </c>
      <c r="J338" s="1"/>
    </row>
    <row r="339" customFormat="false" ht="21.75" hidden="false" customHeight="true" outlineLevel="0" collapsed="false">
      <c r="A339" s="1"/>
      <c r="B339" s="38"/>
      <c r="C339" s="31"/>
      <c r="D339" s="35" t="str">
        <f aca="false">IF(C339="","",IFERROR(INDEX(Products!$C$7:$C$104,MATCH(C339,Products!$B$7:$B$104,0)),"Unknown SKU"))</f>
        <v/>
      </c>
      <c r="E339" s="31"/>
      <c r="F339" s="31"/>
      <c r="G339" s="32"/>
      <c r="H339" s="33" t="str">
        <f aca="false">IF(C339="","",IF(G339="",IFERROR(INDEX(Products!$G$7:$G$104,MATCH(C339,Products!$B$7:$B$104,0)),0),G339))</f>
        <v/>
      </c>
      <c r="I339" s="33" t="str">
        <f aca="false">IF(C339="","",E339*H339)</f>
        <v/>
      </c>
      <c r="J339" s="1"/>
    </row>
    <row r="340" customFormat="false" ht="21.75" hidden="false" customHeight="true" outlineLevel="0" collapsed="false">
      <c r="A340" s="1"/>
      <c r="B340" s="38"/>
      <c r="C340" s="31"/>
      <c r="D340" s="35" t="str">
        <f aca="false">IF(C340="","",IFERROR(INDEX(Products!$C$7:$C$104,MATCH(C340,Products!$B$7:$B$104,0)),"Unknown SKU"))</f>
        <v/>
      </c>
      <c r="E340" s="31"/>
      <c r="F340" s="31"/>
      <c r="G340" s="32"/>
      <c r="H340" s="33" t="str">
        <f aca="false">IF(C340="","",IF(G340="",IFERROR(INDEX(Products!$G$7:$G$104,MATCH(C340,Products!$B$7:$B$104,0)),0),G340))</f>
        <v/>
      </c>
      <c r="I340" s="33" t="str">
        <f aca="false">IF(C340="","",E340*H340)</f>
        <v/>
      </c>
      <c r="J340" s="1"/>
    </row>
    <row r="341" customFormat="false" ht="21.75" hidden="false" customHeight="true" outlineLevel="0" collapsed="false">
      <c r="A341" s="1"/>
      <c r="B341" s="38"/>
      <c r="C341" s="31"/>
      <c r="D341" s="35" t="str">
        <f aca="false">IF(C341="","",IFERROR(INDEX(Products!$C$7:$C$104,MATCH(C341,Products!$B$7:$B$104,0)),"Unknown SKU"))</f>
        <v/>
      </c>
      <c r="E341" s="31"/>
      <c r="F341" s="31"/>
      <c r="G341" s="32"/>
      <c r="H341" s="33" t="str">
        <f aca="false">IF(C341="","",IF(G341="",IFERROR(INDEX(Products!$G$7:$G$104,MATCH(C341,Products!$B$7:$B$104,0)),0),G341))</f>
        <v/>
      </c>
      <c r="I341" s="33" t="str">
        <f aca="false">IF(C341="","",E341*H341)</f>
        <v/>
      </c>
      <c r="J341" s="1"/>
    </row>
    <row r="342" customFormat="false" ht="21.75" hidden="false" customHeight="true" outlineLevel="0" collapsed="false">
      <c r="A342" s="1"/>
      <c r="B342" s="38"/>
      <c r="C342" s="31"/>
      <c r="D342" s="35" t="str">
        <f aca="false">IF(C342="","",IFERROR(INDEX(Products!$C$7:$C$104,MATCH(C342,Products!$B$7:$B$104,0)),"Unknown SKU"))</f>
        <v/>
      </c>
      <c r="E342" s="31"/>
      <c r="F342" s="31"/>
      <c r="G342" s="32"/>
      <c r="H342" s="33" t="str">
        <f aca="false">IF(C342="","",IF(G342="",IFERROR(INDEX(Products!$G$7:$G$104,MATCH(C342,Products!$B$7:$B$104,0)),0),G342))</f>
        <v/>
      </c>
      <c r="I342" s="33" t="str">
        <f aca="false">IF(C342="","",E342*H342)</f>
        <v/>
      </c>
      <c r="J342" s="1"/>
    </row>
    <row r="343" customFormat="false" ht="21.75" hidden="false" customHeight="true" outlineLevel="0" collapsed="false">
      <c r="A343" s="1"/>
      <c r="B343" s="38"/>
      <c r="C343" s="31"/>
      <c r="D343" s="35" t="str">
        <f aca="false">IF(C343="","",IFERROR(INDEX(Products!$C$7:$C$104,MATCH(C343,Products!$B$7:$B$104,0)),"Unknown SKU"))</f>
        <v/>
      </c>
      <c r="E343" s="31"/>
      <c r="F343" s="31"/>
      <c r="G343" s="32"/>
      <c r="H343" s="33" t="str">
        <f aca="false">IF(C343="","",IF(G343="",IFERROR(INDEX(Products!$G$7:$G$104,MATCH(C343,Products!$B$7:$B$104,0)),0),G343))</f>
        <v/>
      </c>
      <c r="I343" s="33" t="str">
        <f aca="false">IF(C343="","",E343*H343)</f>
        <v/>
      </c>
      <c r="J343" s="1"/>
    </row>
    <row r="344" customFormat="false" ht="21.75" hidden="false" customHeight="true" outlineLevel="0" collapsed="false">
      <c r="A344" s="1"/>
      <c r="B344" s="38"/>
      <c r="C344" s="31"/>
      <c r="D344" s="35" t="str">
        <f aca="false">IF(C344="","",IFERROR(INDEX(Products!$C$7:$C$104,MATCH(C344,Products!$B$7:$B$104,0)),"Unknown SKU"))</f>
        <v/>
      </c>
      <c r="E344" s="31"/>
      <c r="F344" s="31"/>
      <c r="G344" s="32"/>
      <c r="H344" s="33" t="str">
        <f aca="false">IF(C344="","",IF(G344="",IFERROR(INDEX(Products!$G$7:$G$104,MATCH(C344,Products!$B$7:$B$104,0)),0),G344))</f>
        <v/>
      </c>
      <c r="I344" s="33" t="str">
        <f aca="false">IF(C344="","",E344*H344)</f>
        <v/>
      </c>
      <c r="J344" s="1"/>
    </row>
    <row r="345" customFormat="false" ht="21.75" hidden="false" customHeight="true" outlineLevel="0" collapsed="false">
      <c r="A345" s="1"/>
      <c r="B345" s="38"/>
      <c r="C345" s="31"/>
      <c r="D345" s="35" t="str">
        <f aca="false">IF(C345="","",IFERROR(INDEX(Products!$C$7:$C$104,MATCH(C345,Products!$B$7:$B$104,0)),"Unknown SKU"))</f>
        <v/>
      </c>
      <c r="E345" s="31"/>
      <c r="F345" s="31"/>
      <c r="G345" s="32"/>
      <c r="H345" s="33" t="str">
        <f aca="false">IF(C345="","",IF(G345="",IFERROR(INDEX(Products!$G$7:$G$104,MATCH(C345,Products!$B$7:$B$104,0)),0),G345))</f>
        <v/>
      </c>
      <c r="I345" s="33" t="str">
        <f aca="false">IF(C345="","",E345*H345)</f>
        <v/>
      </c>
      <c r="J345" s="1"/>
    </row>
    <row r="346" customFormat="false" ht="21.75" hidden="false" customHeight="true" outlineLevel="0" collapsed="false">
      <c r="A346" s="1"/>
      <c r="B346" s="38"/>
      <c r="C346" s="31"/>
      <c r="D346" s="35" t="str">
        <f aca="false">IF(C346="","",IFERROR(INDEX(Products!$C$7:$C$104,MATCH(C346,Products!$B$7:$B$104,0)),"Unknown SKU"))</f>
        <v/>
      </c>
      <c r="E346" s="31"/>
      <c r="F346" s="31"/>
      <c r="G346" s="32"/>
      <c r="H346" s="33" t="str">
        <f aca="false">IF(C346="","",IF(G346="",IFERROR(INDEX(Products!$G$7:$G$104,MATCH(C346,Products!$B$7:$B$104,0)),0),G346))</f>
        <v/>
      </c>
      <c r="I346" s="33" t="str">
        <f aca="false">IF(C346="","",E346*H346)</f>
        <v/>
      </c>
      <c r="J346" s="1"/>
    </row>
    <row r="347" customFormat="false" ht="21.75" hidden="false" customHeight="true" outlineLevel="0" collapsed="false">
      <c r="A347" s="1"/>
      <c r="B347" s="38"/>
      <c r="C347" s="31"/>
      <c r="D347" s="35" t="str">
        <f aca="false">IF(C347="","",IFERROR(INDEX(Products!$C$7:$C$104,MATCH(C347,Products!$B$7:$B$104,0)),"Unknown SKU"))</f>
        <v/>
      </c>
      <c r="E347" s="31"/>
      <c r="F347" s="31"/>
      <c r="G347" s="32"/>
      <c r="H347" s="33" t="str">
        <f aca="false">IF(C347="","",IF(G347="",IFERROR(INDEX(Products!$G$7:$G$104,MATCH(C347,Products!$B$7:$B$104,0)),0),G347))</f>
        <v/>
      </c>
      <c r="I347" s="33" t="str">
        <f aca="false">IF(C347="","",E347*H347)</f>
        <v/>
      </c>
      <c r="J347" s="1"/>
    </row>
    <row r="348" customFormat="false" ht="21.75" hidden="false" customHeight="true" outlineLevel="0" collapsed="false">
      <c r="A348" s="1"/>
      <c r="B348" s="38"/>
      <c r="C348" s="31"/>
      <c r="D348" s="35" t="str">
        <f aca="false">IF(C348="","",IFERROR(INDEX(Products!$C$7:$C$104,MATCH(C348,Products!$B$7:$B$104,0)),"Unknown SKU"))</f>
        <v/>
      </c>
      <c r="E348" s="31"/>
      <c r="F348" s="31"/>
      <c r="G348" s="32"/>
      <c r="H348" s="33" t="str">
        <f aca="false">IF(C348="","",IF(G348="",IFERROR(INDEX(Products!$G$7:$G$104,MATCH(C348,Products!$B$7:$B$104,0)),0),G348))</f>
        <v/>
      </c>
      <c r="I348" s="33" t="str">
        <f aca="false">IF(C348="","",E348*H348)</f>
        <v/>
      </c>
      <c r="J348" s="1"/>
    </row>
    <row r="349" customFormat="false" ht="21.75" hidden="false" customHeight="true" outlineLevel="0" collapsed="false">
      <c r="A349" s="1"/>
      <c r="B349" s="38"/>
      <c r="C349" s="31"/>
      <c r="D349" s="35" t="str">
        <f aca="false">IF(C349="","",IFERROR(INDEX(Products!$C$7:$C$104,MATCH(C349,Products!$B$7:$B$104,0)),"Unknown SKU"))</f>
        <v/>
      </c>
      <c r="E349" s="31"/>
      <c r="F349" s="31"/>
      <c r="G349" s="32"/>
      <c r="H349" s="33" t="str">
        <f aca="false">IF(C349="","",IF(G349="",IFERROR(INDEX(Products!$G$7:$G$104,MATCH(C349,Products!$B$7:$B$104,0)),0),G349))</f>
        <v/>
      </c>
      <c r="I349" s="33" t="str">
        <f aca="false">IF(C349="","",E349*H349)</f>
        <v/>
      </c>
      <c r="J349" s="1"/>
    </row>
    <row r="350" customFormat="false" ht="21.75" hidden="false" customHeight="true" outlineLevel="0" collapsed="false">
      <c r="A350" s="1"/>
      <c r="B350" s="38"/>
      <c r="C350" s="31"/>
      <c r="D350" s="35" t="str">
        <f aca="false">IF(C350="","",IFERROR(INDEX(Products!$C$7:$C$104,MATCH(C350,Products!$B$7:$B$104,0)),"Unknown SKU"))</f>
        <v/>
      </c>
      <c r="E350" s="31"/>
      <c r="F350" s="31"/>
      <c r="G350" s="32"/>
      <c r="H350" s="33" t="str">
        <f aca="false">IF(C350="","",IF(G350="",IFERROR(INDEX(Products!$G$7:$G$104,MATCH(C350,Products!$B$7:$B$104,0)),0),G350))</f>
        <v/>
      </c>
      <c r="I350" s="33" t="str">
        <f aca="false">IF(C350="","",E350*H350)</f>
        <v/>
      </c>
      <c r="J350" s="1"/>
    </row>
    <row r="351" customFormat="false" ht="21.75" hidden="false" customHeight="true" outlineLevel="0" collapsed="false">
      <c r="A351" s="1"/>
      <c r="B351" s="38"/>
      <c r="C351" s="31"/>
      <c r="D351" s="35" t="str">
        <f aca="false">IF(C351="","",IFERROR(INDEX(Products!$C$7:$C$104,MATCH(C351,Products!$B$7:$B$104,0)),"Unknown SKU"))</f>
        <v/>
      </c>
      <c r="E351" s="31"/>
      <c r="F351" s="31"/>
      <c r="G351" s="32"/>
      <c r="H351" s="33" t="str">
        <f aca="false">IF(C351="","",IF(G351="",IFERROR(INDEX(Products!$G$7:$G$104,MATCH(C351,Products!$B$7:$B$104,0)),0),G351))</f>
        <v/>
      </c>
      <c r="I351" s="33" t="str">
        <f aca="false">IF(C351="","",E351*H351)</f>
        <v/>
      </c>
      <c r="J351" s="1"/>
    </row>
    <row r="352" customFormat="false" ht="21.75" hidden="false" customHeight="true" outlineLevel="0" collapsed="false">
      <c r="A352" s="1"/>
      <c r="B352" s="38"/>
      <c r="C352" s="31"/>
      <c r="D352" s="35" t="str">
        <f aca="false">IF(C352="","",IFERROR(INDEX(Products!$C$7:$C$104,MATCH(C352,Products!$B$7:$B$104,0)),"Unknown SKU"))</f>
        <v/>
      </c>
      <c r="E352" s="31"/>
      <c r="F352" s="31"/>
      <c r="G352" s="32"/>
      <c r="H352" s="33" t="str">
        <f aca="false">IF(C352="","",IF(G352="",IFERROR(INDEX(Products!$G$7:$G$104,MATCH(C352,Products!$B$7:$B$104,0)),0),G352))</f>
        <v/>
      </c>
      <c r="I352" s="33" t="str">
        <f aca="false">IF(C352="","",E352*H352)</f>
        <v/>
      </c>
      <c r="J352" s="1"/>
    </row>
    <row r="353" customFormat="false" ht="21.75" hidden="false" customHeight="true" outlineLevel="0" collapsed="false">
      <c r="A353" s="1"/>
      <c r="B353" s="38"/>
      <c r="C353" s="31"/>
      <c r="D353" s="35" t="str">
        <f aca="false">IF(C353="","",IFERROR(INDEX(Products!$C$7:$C$104,MATCH(C353,Products!$B$7:$B$104,0)),"Unknown SKU"))</f>
        <v/>
      </c>
      <c r="E353" s="31"/>
      <c r="F353" s="31"/>
      <c r="G353" s="32"/>
      <c r="H353" s="33" t="str">
        <f aca="false">IF(C353="","",IF(G353="",IFERROR(INDEX(Products!$G$7:$G$104,MATCH(C353,Products!$B$7:$B$104,0)),0),G353))</f>
        <v/>
      </c>
      <c r="I353" s="33" t="str">
        <f aca="false">IF(C353="","",E353*H353)</f>
        <v/>
      </c>
      <c r="J353" s="1"/>
    </row>
    <row r="354" customFormat="false" ht="21.75" hidden="false" customHeight="true" outlineLevel="0" collapsed="false">
      <c r="A354" s="1"/>
      <c r="B354" s="38"/>
      <c r="C354" s="31"/>
      <c r="D354" s="35" t="str">
        <f aca="false">IF(C354="","",IFERROR(INDEX(Products!$C$7:$C$104,MATCH(C354,Products!$B$7:$B$104,0)),"Unknown SKU"))</f>
        <v/>
      </c>
      <c r="E354" s="31"/>
      <c r="F354" s="31"/>
      <c r="G354" s="32"/>
      <c r="H354" s="33" t="str">
        <f aca="false">IF(C354="","",IF(G354="",IFERROR(INDEX(Products!$G$7:$G$104,MATCH(C354,Products!$B$7:$B$104,0)),0),G354))</f>
        <v/>
      </c>
      <c r="I354" s="33" t="str">
        <f aca="false">IF(C354="","",E354*H354)</f>
        <v/>
      </c>
      <c r="J354" s="1"/>
    </row>
    <row r="355" customFormat="false" ht="21.75" hidden="false" customHeight="true" outlineLevel="0" collapsed="false">
      <c r="A355" s="1"/>
      <c r="B355" s="38"/>
      <c r="C355" s="31"/>
      <c r="D355" s="35" t="str">
        <f aca="false">IF(C355="","",IFERROR(INDEX(Products!$C$7:$C$104,MATCH(C355,Products!$B$7:$B$104,0)),"Unknown SKU"))</f>
        <v/>
      </c>
      <c r="E355" s="31"/>
      <c r="F355" s="31"/>
      <c r="G355" s="32"/>
      <c r="H355" s="33" t="str">
        <f aca="false">IF(C355="","",IF(G355="",IFERROR(INDEX(Products!$G$7:$G$104,MATCH(C355,Products!$B$7:$B$104,0)),0),G355))</f>
        <v/>
      </c>
      <c r="I355" s="33" t="str">
        <f aca="false">IF(C355="","",E355*H355)</f>
        <v/>
      </c>
      <c r="J355" s="1"/>
    </row>
    <row r="356" customFormat="false" ht="21.75" hidden="false" customHeight="true" outlineLevel="0" collapsed="false">
      <c r="A356" s="1"/>
      <c r="B356" s="38"/>
      <c r="C356" s="31"/>
      <c r="D356" s="35" t="str">
        <f aca="false">IF(C356="","",IFERROR(INDEX(Products!$C$7:$C$104,MATCH(C356,Products!$B$7:$B$104,0)),"Unknown SKU"))</f>
        <v/>
      </c>
      <c r="E356" s="31"/>
      <c r="F356" s="31"/>
      <c r="G356" s="32"/>
      <c r="H356" s="33" t="str">
        <f aca="false">IF(C356="","",IF(G356="",IFERROR(INDEX(Products!$G$7:$G$104,MATCH(C356,Products!$B$7:$B$104,0)),0),G356))</f>
        <v/>
      </c>
      <c r="I356" s="33" t="str">
        <f aca="false">IF(C356="","",E356*H356)</f>
        <v/>
      </c>
      <c r="J356" s="1"/>
    </row>
    <row r="357" customFormat="false" ht="21.75" hidden="false" customHeight="true" outlineLevel="0" collapsed="false">
      <c r="A357" s="1"/>
      <c r="B357" s="38"/>
      <c r="C357" s="31"/>
      <c r="D357" s="35" t="str">
        <f aca="false">IF(C357="","",IFERROR(INDEX(Products!$C$7:$C$104,MATCH(C357,Products!$B$7:$B$104,0)),"Unknown SKU"))</f>
        <v/>
      </c>
      <c r="E357" s="31"/>
      <c r="F357" s="31"/>
      <c r="G357" s="32"/>
      <c r="H357" s="33" t="str">
        <f aca="false">IF(C357="","",IF(G357="",IFERROR(INDEX(Products!$G$7:$G$104,MATCH(C357,Products!$B$7:$B$104,0)),0),G357))</f>
        <v/>
      </c>
      <c r="I357" s="33" t="str">
        <f aca="false">IF(C357="","",E357*H357)</f>
        <v/>
      </c>
      <c r="J357" s="1"/>
    </row>
    <row r="358" customFormat="false" ht="21.75" hidden="false" customHeight="true" outlineLevel="0" collapsed="false">
      <c r="A358" s="1"/>
      <c r="B358" s="38"/>
      <c r="C358" s="31"/>
      <c r="D358" s="35" t="str">
        <f aca="false">IF(C358="","",IFERROR(INDEX(Products!$C$7:$C$104,MATCH(C358,Products!$B$7:$B$104,0)),"Unknown SKU"))</f>
        <v/>
      </c>
      <c r="E358" s="31"/>
      <c r="F358" s="31"/>
      <c r="G358" s="32"/>
      <c r="H358" s="33" t="str">
        <f aca="false">IF(C358="","",IF(G358="",IFERROR(INDEX(Products!$G$7:$G$104,MATCH(C358,Products!$B$7:$B$104,0)),0),G358))</f>
        <v/>
      </c>
      <c r="I358" s="33" t="str">
        <f aca="false">IF(C358="","",E358*H358)</f>
        <v/>
      </c>
      <c r="J358" s="1"/>
    </row>
    <row r="359" customFormat="false" ht="21.75" hidden="false" customHeight="true" outlineLevel="0" collapsed="false">
      <c r="A359" s="1"/>
      <c r="B359" s="38"/>
      <c r="C359" s="31"/>
      <c r="D359" s="35" t="str">
        <f aca="false">IF(C359="","",IFERROR(INDEX(Products!$C$7:$C$104,MATCH(C359,Products!$B$7:$B$104,0)),"Unknown SKU"))</f>
        <v/>
      </c>
      <c r="E359" s="31"/>
      <c r="F359" s="31"/>
      <c r="G359" s="32"/>
      <c r="H359" s="33" t="str">
        <f aca="false">IF(C359="","",IF(G359="",IFERROR(INDEX(Products!$G$7:$G$104,MATCH(C359,Products!$B$7:$B$104,0)),0),G359))</f>
        <v/>
      </c>
      <c r="I359" s="33" t="str">
        <f aca="false">IF(C359="","",E359*H359)</f>
        <v/>
      </c>
      <c r="J359" s="1"/>
    </row>
    <row r="360" customFormat="false" ht="21.75" hidden="false" customHeight="true" outlineLevel="0" collapsed="false">
      <c r="A360" s="1"/>
      <c r="B360" s="38"/>
      <c r="C360" s="31"/>
      <c r="D360" s="35" t="str">
        <f aca="false">IF(C360="","",IFERROR(INDEX(Products!$C$7:$C$104,MATCH(C360,Products!$B$7:$B$104,0)),"Unknown SKU"))</f>
        <v/>
      </c>
      <c r="E360" s="31"/>
      <c r="F360" s="31"/>
      <c r="G360" s="32"/>
      <c r="H360" s="33" t="str">
        <f aca="false">IF(C360="","",IF(G360="",IFERROR(INDEX(Products!$G$7:$G$104,MATCH(C360,Products!$B$7:$B$104,0)),0),G360))</f>
        <v/>
      </c>
      <c r="I360" s="33" t="str">
        <f aca="false">IF(C360="","",E360*H360)</f>
        <v/>
      </c>
      <c r="J360" s="1"/>
    </row>
    <row r="361" customFormat="false" ht="21.75" hidden="false" customHeight="true" outlineLevel="0" collapsed="false">
      <c r="A361" s="1"/>
      <c r="B361" s="38"/>
      <c r="C361" s="31"/>
      <c r="D361" s="35" t="str">
        <f aca="false">IF(C361="","",IFERROR(INDEX(Products!$C$7:$C$104,MATCH(C361,Products!$B$7:$B$104,0)),"Unknown SKU"))</f>
        <v/>
      </c>
      <c r="E361" s="31"/>
      <c r="F361" s="31"/>
      <c r="G361" s="32"/>
      <c r="H361" s="33" t="str">
        <f aca="false">IF(C361="","",IF(G361="",IFERROR(INDEX(Products!$G$7:$G$104,MATCH(C361,Products!$B$7:$B$104,0)),0),G361))</f>
        <v/>
      </c>
      <c r="I361" s="33" t="str">
        <f aca="false">IF(C361="","",E361*H361)</f>
        <v/>
      </c>
      <c r="J361" s="1"/>
    </row>
    <row r="362" customFormat="false" ht="21.75" hidden="false" customHeight="true" outlineLevel="0" collapsed="false">
      <c r="A362" s="1"/>
      <c r="B362" s="38"/>
      <c r="C362" s="31"/>
      <c r="D362" s="35" t="str">
        <f aca="false">IF(C362="","",IFERROR(INDEX(Products!$C$7:$C$104,MATCH(C362,Products!$B$7:$B$104,0)),"Unknown SKU"))</f>
        <v/>
      </c>
      <c r="E362" s="31"/>
      <c r="F362" s="31"/>
      <c r="G362" s="32"/>
      <c r="H362" s="33" t="str">
        <f aca="false">IF(C362="","",IF(G362="",IFERROR(INDEX(Products!$G$7:$G$104,MATCH(C362,Products!$B$7:$B$104,0)),0),G362))</f>
        <v/>
      </c>
      <c r="I362" s="33" t="str">
        <f aca="false">IF(C362="","",E362*H362)</f>
        <v/>
      </c>
      <c r="J362" s="1"/>
    </row>
    <row r="363" customFormat="false" ht="21.75" hidden="false" customHeight="true" outlineLevel="0" collapsed="false">
      <c r="A363" s="1"/>
      <c r="B363" s="38"/>
      <c r="C363" s="31"/>
      <c r="D363" s="35" t="str">
        <f aca="false">IF(C363="","",IFERROR(INDEX(Products!$C$7:$C$104,MATCH(C363,Products!$B$7:$B$104,0)),"Unknown SKU"))</f>
        <v/>
      </c>
      <c r="E363" s="31"/>
      <c r="F363" s="31"/>
      <c r="G363" s="32"/>
      <c r="H363" s="33" t="str">
        <f aca="false">IF(C363="","",IF(G363="",IFERROR(INDEX(Products!$G$7:$G$104,MATCH(C363,Products!$B$7:$B$104,0)),0),G363))</f>
        <v/>
      </c>
      <c r="I363" s="33" t="str">
        <f aca="false">IF(C363="","",E363*H363)</f>
        <v/>
      </c>
      <c r="J363" s="1"/>
    </row>
    <row r="364" customFormat="false" ht="21.75" hidden="false" customHeight="true" outlineLevel="0" collapsed="false">
      <c r="A364" s="1"/>
      <c r="B364" s="38"/>
      <c r="C364" s="31"/>
      <c r="D364" s="35" t="str">
        <f aca="false">IF(C364="","",IFERROR(INDEX(Products!$C$7:$C$104,MATCH(C364,Products!$B$7:$B$104,0)),"Unknown SKU"))</f>
        <v/>
      </c>
      <c r="E364" s="31"/>
      <c r="F364" s="31"/>
      <c r="G364" s="32"/>
      <c r="H364" s="33" t="str">
        <f aca="false">IF(C364="","",IF(G364="",IFERROR(INDEX(Products!$G$7:$G$104,MATCH(C364,Products!$B$7:$B$104,0)),0),G364))</f>
        <v/>
      </c>
      <c r="I364" s="33" t="str">
        <f aca="false">IF(C364="","",E364*H364)</f>
        <v/>
      </c>
      <c r="J364" s="1"/>
    </row>
    <row r="365" customFormat="false" ht="21.75" hidden="false" customHeight="true" outlineLevel="0" collapsed="false">
      <c r="A365" s="1"/>
      <c r="B365" s="38"/>
      <c r="C365" s="31"/>
      <c r="D365" s="35" t="str">
        <f aca="false">IF(C365="","",IFERROR(INDEX(Products!$C$7:$C$104,MATCH(C365,Products!$B$7:$B$104,0)),"Unknown SKU"))</f>
        <v/>
      </c>
      <c r="E365" s="31"/>
      <c r="F365" s="31"/>
      <c r="G365" s="32"/>
      <c r="H365" s="33" t="str">
        <f aca="false">IF(C365="","",IF(G365="",IFERROR(INDEX(Products!$G$7:$G$104,MATCH(C365,Products!$B$7:$B$104,0)),0),G365))</f>
        <v/>
      </c>
      <c r="I365" s="33" t="str">
        <f aca="false">IF(C365="","",E365*H365)</f>
        <v/>
      </c>
      <c r="J365" s="1"/>
    </row>
    <row r="366" customFormat="false" ht="21.75" hidden="false" customHeight="true" outlineLevel="0" collapsed="false">
      <c r="A366" s="1"/>
      <c r="B366" s="38"/>
      <c r="C366" s="31"/>
      <c r="D366" s="35" t="str">
        <f aca="false">IF(C366="","",IFERROR(INDEX(Products!$C$7:$C$104,MATCH(C366,Products!$B$7:$B$104,0)),"Unknown SKU"))</f>
        <v/>
      </c>
      <c r="E366" s="31"/>
      <c r="F366" s="31"/>
      <c r="G366" s="32"/>
      <c r="H366" s="33" t="str">
        <f aca="false">IF(C366="","",IF(G366="",IFERROR(INDEX(Products!$G$7:$G$104,MATCH(C366,Products!$B$7:$B$104,0)),0),G366))</f>
        <v/>
      </c>
      <c r="I366" s="33" t="str">
        <f aca="false">IF(C366="","",E366*H366)</f>
        <v/>
      </c>
      <c r="J366" s="1"/>
    </row>
    <row r="367" customFormat="false" ht="21.75" hidden="false" customHeight="true" outlineLevel="0" collapsed="false">
      <c r="A367" s="1"/>
      <c r="B367" s="38"/>
      <c r="C367" s="31"/>
      <c r="D367" s="35" t="str">
        <f aca="false">IF(C367="","",IFERROR(INDEX(Products!$C$7:$C$104,MATCH(C367,Products!$B$7:$B$104,0)),"Unknown SKU"))</f>
        <v/>
      </c>
      <c r="E367" s="31"/>
      <c r="F367" s="31"/>
      <c r="G367" s="32"/>
      <c r="H367" s="33" t="str">
        <f aca="false">IF(C367="","",IF(G367="",IFERROR(INDEX(Products!$G$7:$G$104,MATCH(C367,Products!$B$7:$B$104,0)),0),G367))</f>
        <v/>
      </c>
      <c r="I367" s="33" t="str">
        <f aca="false">IF(C367="","",E367*H367)</f>
        <v/>
      </c>
      <c r="J367" s="1"/>
    </row>
    <row r="368" customFormat="false" ht="21.75" hidden="false" customHeight="true" outlineLevel="0" collapsed="false">
      <c r="A368" s="1"/>
      <c r="B368" s="38"/>
      <c r="C368" s="31"/>
      <c r="D368" s="35" t="str">
        <f aca="false">IF(C368="","",IFERROR(INDEX(Products!$C$7:$C$104,MATCH(C368,Products!$B$7:$B$104,0)),"Unknown SKU"))</f>
        <v/>
      </c>
      <c r="E368" s="31"/>
      <c r="F368" s="31"/>
      <c r="G368" s="32"/>
      <c r="H368" s="33" t="str">
        <f aca="false">IF(C368="","",IF(G368="",IFERROR(INDEX(Products!$G$7:$G$104,MATCH(C368,Products!$B$7:$B$104,0)),0),G368))</f>
        <v/>
      </c>
      <c r="I368" s="33" t="str">
        <f aca="false">IF(C368="","",E368*H368)</f>
        <v/>
      </c>
      <c r="J368" s="1"/>
    </row>
    <row r="369" customFormat="false" ht="21.75" hidden="false" customHeight="true" outlineLevel="0" collapsed="false">
      <c r="A369" s="1"/>
      <c r="B369" s="38"/>
      <c r="C369" s="31"/>
      <c r="D369" s="35" t="str">
        <f aca="false">IF(C369="","",IFERROR(INDEX(Products!$C$7:$C$104,MATCH(C369,Products!$B$7:$B$104,0)),"Unknown SKU"))</f>
        <v/>
      </c>
      <c r="E369" s="31"/>
      <c r="F369" s="31"/>
      <c r="G369" s="32"/>
      <c r="H369" s="33" t="str">
        <f aca="false">IF(C369="","",IF(G369="",IFERROR(INDEX(Products!$G$7:$G$104,MATCH(C369,Products!$B$7:$B$104,0)),0),G369))</f>
        <v/>
      </c>
      <c r="I369" s="33" t="str">
        <f aca="false">IF(C369="","",E369*H369)</f>
        <v/>
      </c>
      <c r="J369" s="1"/>
    </row>
    <row r="370" customFormat="false" ht="21.75" hidden="false" customHeight="true" outlineLevel="0" collapsed="false">
      <c r="A370" s="1"/>
      <c r="B370" s="38"/>
      <c r="C370" s="31"/>
      <c r="D370" s="35" t="str">
        <f aca="false">IF(C370="","",IFERROR(INDEX(Products!$C$7:$C$104,MATCH(C370,Products!$B$7:$B$104,0)),"Unknown SKU"))</f>
        <v/>
      </c>
      <c r="E370" s="31"/>
      <c r="F370" s="31"/>
      <c r="G370" s="32"/>
      <c r="H370" s="33" t="str">
        <f aca="false">IF(C370="","",IF(G370="",IFERROR(INDEX(Products!$G$7:$G$104,MATCH(C370,Products!$B$7:$B$104,0)),0),G370))</f>
        <v/>
      </c>
      <c r="I370" s="33" t="str">
        <f aca="false">IF(C370="","",E370*H370)</f>
        <v/>
      </c>
      <c r="J370" s="1"/>
    </row>
    <row r="371" customFormat="false" ht="21.75" hidden="false" customHeight="true" outlineLevel="0" collapsed="false">
      <c r="A371" s="1"/>
      <c r="B371" s="38"/>
      <c r="C371" s="31"/>
      <c r="D371" s="35" t="str">
        <f aca="false">IF(C371="","",IFERROR(INDEX(Products!$C$7:$C$104,MATCH(C371,Products!$B$7:$B$104,0)),"Unknown SKU"))</f>
        <v/>
      </c>
      <c r="E371" s="31"/>
      <c r="F371" s="31"/>
      <c r="G371" s="32"/>
      <c r="H371" s="33" t="str">
        <f aca="false">IF(C371="","",IF(G371="",IFERROR(INDEX(Products!$G$7:$G$104,MATCH(C371,Products!$B$7:$B$104,0)),0),G371))</f>
        <v/>
      </c>
      <c r="I371" s="33" t="str">
        <f aca="false">IF(C371="","",E371*H371)</f>
        <v/>
      </c>
      <c r="J371" s="1"/>
    </row>
    <row r="372" customFormat="false" ht="21.75" hidden="false" customHeight="true" outlineLevel="0" collapsed="false">
      <c r="A372" s="1"/>
      <c r="B372" s="38"/>
      <c r="C372" s="31"/>
      <c r="D372" s="35" t="str">
        <f aca="false">IF(C372="","",IFERROR(INDEX(Products!$C$7:$C$104,MATCH(C372,Products!$B$7:$B$104,0)),"Unknown SKU"))</f>
        <v/>
      </c>
      <c r="E372" s="31"/>
      <c r="F372" s="31"/>
      <c r="G372" s="32"/>
      <c r="H372" s="33" t="str">
        <f aca="false">IF(C372="","",IF(G372="",IFERROR(INDEX(Products!$G$7:$G$104,MATCH(C372,Products!$B$7:$B$104,0)),0),G372))</f>
        <v/>
      </c>
      <c r="I372" s="33" t="str">
        <f aca="false">IF(C372="","",E372*H372)</f>
        <v/>
      </c>
      <c r="J372" s="1"/>
    </row>
    <row r="373" customFormat="false" ht="21.75" hidden="false" customHeight="true" outlineLevel="0" collapsed="false">
      <c r="A373" s="1"/>
      <c r="B373" s="38"/>
      <c r="C373" s="31"/>
      <c r="D373" s="35" t="str">
        <f aca="false">IF(C373="","",IFERROR(INDEX(Products!$C$7:$C$104,MATCH(C373,Products!$B$7:$B$104,0)),"Unknown SKU"))</f>
        <v/>
      </c>
      <c r="E373" s="31"/>
      <c r="F373" s="31"/>
      <c r="G373" s="32"/>
      <c r="H373" s="33" t="str">
        <f aca="false">IF(C373="","",IF(G373="",IFERROR(INDEX(Products!$G$7:$G$104,MATCH(C373,Products!$B$7:$B$104,0)),0),G373))</f>
        <v/>
      </c>
      <c r="I373" s="33" t="str">
        <f aca="false">IF(C373="","",E373*H373)</f>
        <v/>
      </c>
      <c r="J373" s="1"/>
    </row>
    <row r="374" customFormat="false" ht="21.75" hidden="false" customHeight="true" outlineLevel="0" collapsed="false">
      <c r="A374" s="1"/>
      <c r="B374" s="38"/>
      <c r="C374" s="31"/>
      <c r="D374" s="35" t="str">
        <f aca="false">IF(C374="","",IFERROR(INDEX(Products!$C$7:$C$104,MATCH(C374,Products!$B$7:$B$104,0)),"Unknown SKU"))</f>
        <v/>
      </c>
      <c r="E374" s="31"/>
      <c r="F374" s="31"/>
      <c r="G374" s="32"/>
      <c r="H374" s="33" t="str">
        <f aca="false">IF(C374="","",IF(G374="",IFERROR(INDEX(Products!$G$7:$G$104,MATCH(C374,Products!$B$7:$B$104,0)),0),G374))</f>
        <v/>
      </c>
      <c r="I374" s="33" t="str">
        <f aca="false">IF(C374="","",E374*H374)</f>
        <v/>
      </c>
      <c r="J374" s="1"/>
    </row>
    <row r="375" customFormat="false" ht="21.75" hidden="false" customHeight="true" outlineLevel="0" collapsed="false">
      <c r="A375" s="1"/>
      <c r="B375" s="38"/>
      <c r="C375" s="31"/>
      <c r="D375" s="35" t="str">
        <f aca="false">IF(C375="","",IFERROR(INDEX(Products!$C$7:$C$104,MATCH(C375,Products!$B$7:$B$104,0)),"Unknown SKU"))</f>
        <v/>
      </c>
      <c r="E375" s="31"/>
      <c r="F375" s="31"/>
      <c r="G375" s="32"/>
      <c r="H375" s="33" t="str">
        <f aca="false">IF(C375="","",IF(G375="",IFERROR(INDEX(Products!$G$7:$G$104,MATCH(C375,Products!$B$7:$B$104,0)),0),G375))</f>
        <v/>
      </c>
      <c r="I375" s="33" t="str">
        <f aca="false">IF(C375="","",E375*H375)</f>
        <v/>
      </c>
      <c r="J375" s="1"/>
    </row>
    <row r="376" customFormat="false" ht="21.75" hidden="false" customHeight="true" outlineLevel="0" collapsed="false">
      <c r="A376" s="1"/>
      <c r="B376" s="38"/>
      <c r="C376" s="31"/>
      <c r="D376" s="35" t="str">
        <f aca="false">IF(C376="","",IFERROR(INDEX(Products!$C$7:$C$104,MATCH(C376,Products!$B$7:$B$104,0)),"Unknown SKU"))</f>
        <v/>
      </c>
      <c r="E376" s="31"/>
      <c r="F376" s="31"/>
      <c r="G376" s="32"/>
      <c r="H376" s="33" t="str">
        <f aca="false">IF(C376="","",IF(G376="",IFERROR(INDEX(Products!$G$7:$G$104,MATCH(C376,Products!$B$7:$B$104,0)),0),G376))</f>
        <v/>
      </c>
      <c r="I376" s="33" t="str">
        <f aca="false">IF(C376="","",E376*H376)</f>
        <v/>
      </c>
      <c r="J376" s="1"/>
    </row>
    <row r="377" customFormat="false" ht="21.75" hidden="false" customHeight="true" outlineLevel="0" collapsed="false">
      <c r="A377" s="1"/>
      <c r="B377" s="38"/>
      <c r="C377" s="31"/>
      <c r="D377" s="35" t="str">
        <f aca="false">IF(C377="","",IFERROR(INDEX(Products!$C$7:$C$104,MATCH(C377,Products!$B$7:$B$104,0)),"Unknown SKU"))</f>
        <v/>
      </c>
      <c r="E377" s="31"/>
      <c r="F377" s="31"/>
      <c r="G377" s="32"/>
      <c r="H377" s="33" t="str">
        <f aca="false">IF(C377="","",IF(G377="",IFERROR(INDEX(Products!$G$7:$G$104,MATCH(C377,Products!$B$7:$B$104,0)),0),G377))</f>
        <v/>
      </c>
      <c r="I377" s="33" t="str">
        <f aca="false">IF(C377="","",E377*H377)</f>
        <v/>
      </c>
      <c r="J377" s="1"/>
    </row>
    <row r="378" customFormat="false" ht="21.75" hidden="false" customHeight="true" outlineLevel="0" collapsed="false">
      <c r="A378" s="1"/>
      <c r="B378" s="38"/>
      <c r="C378" s="31"/>
      <c r="D378" s="35" t="str">
        <f aca="false">IF(C378="","",IFERROR(INDEX(Products!$C$7:$C$104,MATCH(C378,Products!$B$7:$B$104,0)),"Unknown SKU"))</f>
        <v/>
      </c>
      <c r="E378" s="31"/>
      <c r="F378" s="31"/>
      <c r="G378" s="32"/>
      <c r="H378" s="33" t="str">
        <f aca="false">IF(C378="","",IF(G378="",IFERROR(INDEX(Products!$G$7:$G$104,MATCH(C378,Products!$B$7:$B$104,0)),0),G378))</f>
        <v/>
      </c>
      <c r="I378" s="33" t="str">
        <f aca="false">IF(C378="","",E378*H378)</f>
        <v/>
      </c>
      <c r="J378" s="1"/>
    </row>
    <row r="379" customFormat="false" ht="21.75" hidden="false" customHeight="true" outlineLevel="0" collapsed="false">
      <c r="A379" s="1"/>
      <c r="B379" s="38"/>
      <c r="C379" s="31"/>
      <c r="D379" s="35" t="str">
        <f aca="false">IF(C379="","",IFERROR(INDEX(Products!$C$7:$C$104,MATCH(C379,Products!$B$7:$B$104,0)),"Unknown SKU"))</f>
        <v/>
      </c>
      <c r="E379" s="31"/>
      <c r="F379" s="31"/>
      <c r="G379" s="32"/>
      <c r="H379" s="33" t="str">
        <f aca="false">IF(C379="","",IF(G379="",IFERROR(INDEX(Products!$G$7:$G$104,MATCH(C379,Products!$B$7:$B$104,0)),0),G379))</f>
        <v/>
      </c>
      <c r="I379" s="33" t="str">
        <f aca="false">IF(C379="","",E379*H379)</f>
        <v/>
      </c>
      <c r="J379" s="1"/>
    </row>
    <row r="380" customFormat="false" ht="21.75" hidden="false" customHeight="true" outlineLevel="0" collapsed="false">
      <c r="A380" s="1"/>
      <c r="B380" s="38"/>
      <c r="C380" s="31"/>
      <c r="D380" s="35" t="str">
        <f aca="false">IF(C380="","",IFERROR(INDEX(Products!$C$7:$C$104,MATCH(C380,Products!$B$7:$B$104,0)),"Unknown SKU"))</f>
        <v/>
      </c>
      <c r="E380" s="31"/>
      <c r="F380" s="31"/>
      <c r="G380" s="32"/>
      <c r="H380" s="33" t="str">
        <f aca="false">IF(C380="","",IF(G380="",IFERROR(INDEX(Products!$G$7:$G$104,MATCH(C380,Products!$B$7:$B$104,0)),0),G380))</f>
        <v/>
      </c>
      <c r="I380" s="33" t="str">
        <f aca="false">IF(C380="","",E380*H380)</f>
        <v/>
      </c>
      <c r="J380" s="1"/>
    </row>
    <row r="381" customFormat="false" ht="21.75" hidden="false" customHeight="true" outlineLevel="0" collapsed="false">
      <c r="A381" s="1"/>
      <c r="B381" s="38"/>
      <c r="C381" s="31"/>
      <c r="D381" s="35" t="str">
        <f aca="false">IF(C381="","",IFERROR(INDEX(Products!$C$7:$C$104,MATCH(C381,Products!$B$7:$B$104,0)),"Unknown SKU"))</f>
        <v/>
      </c>
      <c r="E381" s="31"/>
      <c r="F381" s="31"/>
      <c r="G381" s="32"/>
      <c r="H381" s="33" t="str">
        <f aca="false">IF(C381="","",IF(G381="",IFERROR(INDEX(Products!$G$7:$G$104,MATCH(C381,Products!$B$7:$B$104,0)),0),G381))</f>
        <v/>
      </c>
      <c r="I381" s="33" t="str">
        <f aca="false">IF(C381="","",E381*H381)</f>
        <v/>
      </c>
      <c r="J381" s="1"/>
    </row>
    <row r="382" customFormat="false" ht="21.75" hidden="false" customHeight="true" outlineLevel="0" collapsed="false">
      <c r="A382" s="1"/>
      <c r="B382" s="38"/>
      <c r="C382" s="31"/>
      <c r="D382" s="35" t="str">
        <f aca="false">IF(C382="","",IFERROR(INDEX(Products!$C$7:$C$104,MATCH(C382,Products!$B$7:$B$104,0)),"Unknown SKU"))</f>
        <v/>
      </c>
      <c r="E382" s="31"/>
      <c r="F382" s="31"/>
      <c r="G382" s="32"/>
      <c r="H382" s="33" t="str">
        <f aca="false">IF(C382="","",IF(G382="",IFERROR(INDEX(Products!$G$7:$G$104,MATCH(C382,Products!$B$7:$B$104,0)),0),G382))</f>
        <v/>
      </c>
      <c r="I382" s="33" t="str">
        <f aca="false">IF(C382="","",E382*H382)</f>
        <v/>
      </c>
      <c r="J382" s="1"/>
    </row>
    <row r="383" customFormat="false" ht="21.75" hidden="false" customHeight="true" outlineLevel="0" collapsed="false">
      <c r="A383" s="1"/>
      <c r="B383" s="38"/>
      <c r="C383" s="31"/>
      <c r="D383" s="35" t="str">
        <f aca="false">IF(C383="","",IFERROR(INDEX(Products!$C$7:$C$104,MATCH(C383,Products!$B$7:$B$104,0)),"Unknown SKU"))</f>
        <v/>
      </c>
      <c r="E383" s="31"/>
      <c r="F383" s="31"/>
      <c r="G383" s="32"/>
      <c r="H383" s="33" t="str">
        <f aca="false">IF(C383="","",IF(G383="",IFERROR(INDEX(Products!$G$7:$G$104,MATCH(C383,Products!$B$7:$B$104,0)),0),G383))</f>
        <v/>
      </c>
      <c r="I383" s="33" t="str">
        <f aca="false">IF(C383="","",E383*H383)</f>
        <v/>
      </c>
      <c r="J383" s="1"/>
    </row>
    <row r="384" customFormat="false" ht="21.75" hidden="false" customHeight="true" outlineLevel="0" collapsed="false">
      <c r="A384" s="1"/>
      <c r="B384" s="38"/>
      <c r="C384" s="31"/>
      <c r="D384" s="35" t="str">
        <f aca="false">IF(C384="","",IFERROR(INDEX(Products!$C$7:$C$104,MATCH(C384,Products!$B$7:$B$104,0)),"Unknown SKU"))</f>
        <v/>
      </c>
      <c r="E384" s="31"/>
      <c r="F384" s="31"/>
      <c r="G384" s="32"/>
      <c r="H384" s="33" t="str">
        <f aca="false">IF(C384="","",IF(G384="",IFERROR(INDEX(Products!$G$7:$G$104,MATCH(C384,Products!$B$7:$B$104,0)),0),G384))</f>
        <v/>
      </c>
      <c r="I384" s="33" t="str">
        <f aca="false">IF(C384="","",E384*H384)</f>
        <v/>
      </c>
      <c r="J384" s="1"/>
    </row>
    <row r="385" customFormat="false" ht="21.75" hidden="false" customHeight="true" outlineLevel="0" collapsed="false">
      <c r="A385" s="1"/>
      <c r="B385" s="38"/>
      <c r="C385" s="31"/>
      <c r="D385" s="35" t="str">
        <f aca="false">IF(C385="","",IFERROR(INDEX(Products!$C$7:$C$104,MATCH(C385,Products!$B$7:$B$104,0)),"Unknown SKU"))</f>
        <v/>
      </c>
      <c r="E385" s="31"/>
      <c r="F385" s="31"/>
      <c r="G385" s="32"/>
      <c r="H385" s="33" t="str">
        <f aca="false">IF(C385="","",IF(G385="",IFERROR(INDEX(Products!$G$7:$G$104,MATCH(C385,Products!$B$7:$B$104,0)),0),G385))</f>
        <v/>
      </c>
      <c r="I385" s="33" t="str">
        <f aca="false">IF(C385="","",E385*H385)</f>
        <v/>
      </c>
      <c r="J385" s="1"/>
    </row>
    <row r="386" customFormat="false" ht="21.75" hidden="false" customHeight="true" outlineLevel="0" collapsed="false">
      <c r="A386" s="1"/>
      <c r="B386" s="38"/>
      <c r="C386" s="31"/>
      <c r="D386" s="35" t="str">
        <f aca="false">IF(C386="","",IFERROR(INDEX(Products!$C$7:$C$104,MATCH(C386,Products!$B$7:$B$104,0)),"Unknown SKU"))</f>
        <v/>
      </c>
      <c r="E386" s="31"/>
      <c r="F386" s="31"/>
      <c r="G386" s="32"/>
      <c r="H386" s="33" t="str">
        <f aca="false">IF(C386="","",IF(G386="",IFERROR(INDEX(Products!$G$7:$G$104,MATCH(C386,Products!$B$7:$B$104,0)),0),G386))</f>
        <v/>
      </c>
      <c r="I386" s="33" t="str">
        <f aca="false">IF(C386="","",E386*H386)</f>
        <v/>
      </c>
      <c r="J386" s="1"/>
    </row>
    <row r="387" customFormat="false" ht="21.75" hidden="false" customHeight="true" outlineLevel="0" collapsed="false">
      <c r="A387" s="1"/>
      <c r="B387" s="38"/>
      <c r="C387" s="31"/>
      <c r="D387" s="35" t="str">
        <f aca="false">IF(C387="","",IFERROR(INDEX(Products!$C$7:$C$104,MATCH(C387,Products!$B$7:$B$104,0)),"Unknown SKU"))</f>
        <v/>
      </c>
      <c r="E387" s="31"/>
      <c r="F387" s="31"/>
      <c r="G387" s="32"/>
      <c r="H387" s="33" t="str">
        <f aca="false">IF(C387="","",IF(G387="",IFERROR(INDEX(Products!$G$7:$G$104,MATCH(C387,Products!$B$7:$B$104,0)),0),G387))</f>
        <v/>
      </c>
      <c r="I387" s="33" t="str">
        <f aca="false">IF(C387="","",E387*H387)</f>
        <v/>
      </c>
      <c r="J387" s="1"/>
    </row>
    <row r="388" customFormat="false" ht="21.75" hidden="false" customHeight="true" outlineLevel="0" collapsed="false">
      <c r="A388" s="1"/>
      <c r="B388" s="38"/>
      <c r="C388" s="31"/>
      <c r="D388" s="35" t="str">
        <f aca="false">IF(C388="","",IFERROR(INDEX(Products!$C$7:$C$104,MATCH(C388,Products!$B$7:$B$104,0)),"Unknown SKU"))</f>
        <v/>
      </c>
      <c r="E388" s="31"/>
      <c r="F388" s="31"/>
      <c r="G388" s="32"/>
      <c r="H388" s="33" t="str">
        <f aca="false">IF(C388="","",IF(G388="",IFERROR(INDEX(Products!$G$7:$G$104,MATCH(C388,Products!$B$7:$B$104,0)),0),G388))</f>
        <v/>
      </c>
      <c r="I388" s="33" t="str">
        <f aca="false">IF(C388="","",E388*H388)</f>
        <v/>
      </c>
      <c r="J388" s="1"/>
    </row>
    <row r="389" customFormat="false" ht="21.75" hidden="false" customHeight="true" outlineLevel="0" collapsed="false">
      <c r="A389" s="1"/>
      <c r="B389" s="38"/>
      <c r="C389" s="31"/>
      <c r="D389" s="35" t="str">
        <f aca="false">IF(C389="","",IFERROR(INDEX(Products!$C$7:$C$104,MATCH(C389,Products!$B$7:$B$104,0)),"Unknown SKU"))</f>
        <v/>
      </c>
      <c r="E389" s="31"/>
      <c r="F389" s="31"/>
      <c r="G389" s="32"/>
      <c r="H389" s="33" t="str">
        <f aca="false">IF(C389="","",IF(G389="",IFERROR(INDEX(Products!$G$7:$G$104,MATCH(C389,Products!$B$7:$B$104,0)),0),G389))</f>
        <v/>
      </c>
      <c r="I389" s="33" t="str">
        <f aca="false">IF(C389="","",E389*H389)</f>
        <v/>
      </c>
      <c r="J389" s="1"/>
    </row>
    <row r="390" customFormat="false" ht="21.75" hidden="false" customHeight="true" outlineLevel="0" collapsed="false">
      <c r="A390" s="1"/>
      <c r="B390" s="38"/>
      <c r="C390" s="31"/>
      <c r="D390" s="35" t="str">
        <f aca="false">IF(C390="","",IFERROR(INDEX(Products!$C$7:$C$104,MATCH(C390,Products!$B$7:$B$104,0)),"Unknown SKU"))</f>
        <v/>
      </c>
      <c r="E390" s="31"/>
      <c r="F390" s="31"/>
      <c r="G390" s="32"/>
      <c r="H390" s="33" t="str">
        <f aca="false">IF(C390="","",IF(G390="",IFERROR(INDEX(Products!$G$7:$G$104,MATCH(C390,Products!$B$7:$B$104,0)),0),G390))</f>
        <v/>
      </c>
      <c r="I390" s="33" t="str">
        <f aca="false">IF(C390="","",E390*H390)</f>
        <v/>
      </c>
      <c r="J390" s="1"/>
    </row>
    <row r="391" customFormat="false" ht="21.75" hidden="false" customHeight="true" outlineLevel="0" collapsed="false">
      <c r="A391" s="1"/>
      <c r="B391" s="38"/>
      <c r="C391" s="31"/>
      <c r="D391" s="35" t="str">
        <f aca="false">IF(C391="","",IFERROR(INDEX(Products!$C$7:$C$104,MATCH(C391,Products!$B$7:$B$104,0)),"Unknown SKU"))</f>
        <v/>
      </c>
      <c r="E391" s="31"/>
      <c r="F391" s="31"/>
      <c r="G391" s="32"/>
      <c r="H391" s="33" t="str">
        <f aca="false">IF(C391="","",IF(G391="",IFERROR(INDEX(Products!$G$7:$G$104,MATCH(C391,Products!$B$7:$B$104,0)),0),G391))</f>
        <v/>
      </c>
      <c r="I391" s="33" t="str">
        <f aca="false">IF(C391="","",E391*H391)</f>
        <v/>
      </c>
      <c r="J391" s="1"/>
    </row>
    <row r="392" customFormat="false" ht="21.75" hidden="false" customHeight="true" outlineLevel="0" collapsed="false">
      <c r="A392" s="1"/>
      <c r="B392" s="38"/>
      <c r="C392" s="31"/>
      <c r="D392" s="35" t="str">
        <f aca="false">IF(C392="","",IFERROR(INDEX(Products!$C$7:$C$104,MATCH(C392,Products!$B$7:$B$104,0)),"Unknown SKU"))</f>
        <v/>
      </c>
      <c r="E392" s="31"/>
      <c r="F392" s="31"/>
      <c r="G392" s="32"/>
      <c r="H392" s="33" t="str">
        <f aca="false">IF(C392="","",IF(G392="",IFERROR(INDEX(Products!$G$7:$G$104,MATCH(C392,Products!$B$7:$B$104,0)),0),G392))</f>
        <v/>
      </c>
      <c r="I392" s="33" t="str">
        <f aca="false">IF(C392="","",E392*H392)</f>
        <v/>
      </c>
      <c r="J392" s="1"/>
    </row>
    <row r="393" customFormat="false" ht="21.75" hidden="false" customHeight="true" outlineLevel="0" collapsed="false">
      <c r="A393" s="1"/>
      <c r="B393" s="38"/>
      <c r="C393" s="31"/>
      <c r="D393" s="35" t="str">
        <f aca="false">IF(C393="","",IFERROR(INDEX(Products!$C$7:$C$104,MATCH(C393,Products!$B$7:$B$104,0)),"Unknown SKU"))</f>
        <v/>
      </c>
      <c r="E393" s="31"/>
      <c r="F393" s="31"/>
      <c r="G393" s="32"/>
      <c r="H393" s="33" t="str">
        <f aca="false">IF(C393="","",IF(G393="",IFERROR(INDEX(Products!$G$7:$G$104,MATCH(C393,Products!$B$7:$B$104,0)),0),G393))</f>
        <v/>
      </c>
      <c r="I393" s="33" t="str">
        <f aca="false">IF(C393="","",E393*H393)</f>
        <v/>
      </c>
      <c r="J393" s="1"/>
    </row>
    <row r="394" customFormat="false" ht="21.75" hidden="false" customHeight="true" outlineLevel="0" collapsed="false">
      <c r="A394" s="1"/>
      <c r="B394" s="38"/>
      <c r="C394" s="31"/>
      <c r="D394" s="35" t="str">
        <f aca="false">IF(C394="","",IFERROR(INDEX(Products!$C$7:$C$104,MATCH(C394,Products!$B$7:$B$104,0)),"Unknown SKU"))</f>
        <v/>
      </c>
      <c r="E394" s="31"/>
      <c r="F394" s="31"/>
      <c r="G394" s="32"/>
      <c r="H394" s="33" t="str">
        <f aca="false">IF(C394="","",IF(G394="",IFERROR(INDEX(Products!$G$7:$G$104,MATCH(C394,Products!$B$7:$B$104,0)),0),G394))</f>
        <v/>
      </c>
      <c r="I394" s="33" t="str">
        <f aca="false">IF(C394="","",E394*H394)</f>
        <v/>
      </c>
      <c r="J394" s="1"/>
    </row>
    <row r="395" customFormat="false" ht="21.75" hidden="false" customHeight="true" outlineLevel="0" collapsed="false">
      <c r="A395" s="1"/>
      <c r="B395" s="38"/>
      <c r="C395" s="31"/>
      <c r="D395" s="35" t="str">
        <f aca="false">IF(C395="","",IFERROR(INDEX(Products!$C$7:$C$104,MATCH(C395,Products!$B$7:$B$104,0)),"Unknown SKU"))</f>
        <v/>
      </c>
      <c r="E395" s="31"/>
      <c r="F395" s="31"/>
      <c r="G395" s="32"/>
      <c r="H395" s="33" t="str">
        <f aca="false">IF(C395="","",IF(G395="",IFERROR(INDEX(Products!$G$7:$G$104,MATCH(C395,Products!$B$7:$B$104,0)),0),G395))</f>
        <v/>
      </c>
      <c r="I395" s="33" t="str">
        <f aca="false">IF(C395="","",E395*H395)</f>
        <v/>
      </c>
      <c r="J395" s="1"/>
    </row>
    <row r="396" customFormat="false" ht="21.75" hidden="false" customHeight="true" outlineLevel="0" collapsed="false">
      <c r="A396" s="1"/>
      <c r="B396" s="38"/>
      <c r="C396" s="31"/>
      <c r="D396" s="35" t="str">
        <f aca="false">IF(C396="","",IFERROR(INDEX(Products!$C$7:$C$104,MATCH(C396,Products!$B$7:$B$104,0)),"Unknown SKU"))</f>
        <v/>
      </c>
      <c r="E396" s="31"/>
      <c r="F396" s="31"/>
      <c r="G396" s="32"/>
      <c r="H396" s="33" t="str">
        <f aca="false">IF(C396="","",IF(G396="",IFERROR(INDEX(Products!$G$7:$G$104,MATCH(C396,Products!$B$7:$B$104,0)),0),G396))</f>
        <v/>
      </c>
      <c r="I396" s="33" t="str">
        <f aca="false">IF(C396="","",E396*H396)</f>
        <v/>
      </c>
      <c r="J396" s="1"/>
    </row>
    <row r="397" customFormat="false" ht="21.75" hidden="false" customHeight="true" outlineLevel="0" collapsed="false">
      <c r="A397" s="1"/>
      <c r="B397" s="38"/>
      <c r="C397" s="31"/>
      <c r="D397" s="35" t="str">
        <f aca="false">IF(C397="","",IFERROR(INDEX(Products!$C$7:$C$104,MATCH(C397,Products!$B$7:$B$104,0)),"Unknown SKU"))</f>
        <v/>
      </c>
      <c r="E397" s="31"/>
      <c r="F397" s="31"/>
      <c r="G397" s="32"/>
      <c r="H397" s="33" t="str">
        <f aca="false">IF(C397="","",IF(G397="",IFERROR(INDEX(Products!$G$7:$G$104,MATCH(C397,Products!$B$7:$B$104,0)),0),G397))</f>
        <v/>
      </c>
      <c r="I397" s="33" t="str">
        <f aca="false">IF(C397="","",E397*H397)</f>
        <v/>
      </c>
      <c r="J397" s="1"/>
    </row>
    <row r="398" customFormat="false" ht="21.75" hidden="false" customHeight="true" outlineLevel="0" collapsed="false">
      <c r="A398" s="1"/>
      <c r="B398" s="38"/>
      <c r="C398" s="31"/>
      <c r="D398" s="35" t="str">
        <f aca="false">IF(C398="","",IFERROR(INDEX(Products!$C$7:$C$104,MATCH(C398,Products!$B$7:$B$104,0)),"Unknown SKU"))</f>
        <v/>
      </c>
      <c r="E398" s="31"/>
      <c r="F398" s="31"/>
      <c r="G398" s="32"/>
      <c r="H398" s="33" t="str">
        <f aca="false">IF(C398="","",IF(G398="",IFERROR(INDEX(Products!$G$7:$G$104,MATCH(C398,Products!$B$7:$B$104,0)),0),G398))</f>
        <v/>
      </c>
      <c r="I398" s="33" t="str">
        <f aca="false">IF(C398="","",E398*H398)</f>
        <v/>
      </c>
      <c r="J398" s="1"/>
    </row>
    <row r="399" customFormat="false" ht="21.75" hidden="false" customHeight="true" outlineLevel="0" collapsed="false">
      <c r="A399" s="1"/>
      <c r="B399" s="38"/>
      <c r="C399" s="31"/>
      <c r="D399" s="35" t="str">
        <f aca="false">IF(C399="","",IFERROR(INDEX(Products!$C$7:$C$104,MATCH(C399,Products!$B$7:$B$104,0)),"Unknown SKU"))</f>
        <v/>
      </c>
      <c r="E399" s="31"/>
      <c r="F399" s="31"/>
      <c r="G399" s="32"/>
      <c r="H399" s="33" t="str">
        <f aca="false">IF(C399="","",IF(G399="",IFERROR(INDEX(Products!$G$7:$G$104,MATCH(C399,Products!$B$7:$B$104,0)),0),G399))</f>
        <v/>
      </c>
      <c r="I399" s="33" t="str">
        <f aca="false">IF(C399="","",E399*H399)</f>
        <v/>
      </c>
      <c r="J399" s="1"/>
    </row>
    <row r="400" customFormat="false" ht="21.75" hidden="false" customHeight="true" outlineLevel="0" collapsed="false">
      <c r="A400" s="1"/>
      <c r="B400" s="38"/>
      <c r="C400" s="31"/>
      <c r="D400" s="35" t="str">
        <f aca="false">IF(C400="","",IFERROR(INDEX(Products!$C$7:$C$104,MATCH(C400,Products!$B$7:$B$104,0)),"Unknown SKU"))</f>
        <v/>
      </c>
      <c r="E400" s="31"/>
      <c r="F400" s="31"/>
      <c r="G400" s="32"/>
      <c r="H400" s="33" t="str">
        <f aca="false">IF(C400="","",IF(G400="",IFERROR(INDEX(Products!$G$7:$G$104,MATCH(C400,Products!$B$7:$B$104,0)),0),G400))</f>
        <v/>
      </c>
      <c r="I400" s="33" t="str">
        <f aca="false">IF(C400="","",E400*H400)</f>
        <v/>
      </c>
      <c r="J400" s="1"/>
    </row>
    <row r="401" customFormat="false" ht="21.75" hidden="false" customHeight="true" outlineLevel="0" collapsed="false">
      <c r="A401" s="1"/>
      <c r="B401" s="38"/>
      <c r="C401" s="31"/>
      <c r="D401" s="35" t="str">
        <f aca="false">IF(C401="","",IFERROR(INDEX(Products!$C$7:$C$104,MATCH(C401,Products!$B$7:$B$104,0)),"Unknown SKU"))</f>
        <v/>
      </c>
      <c r="E401" s="31"/>
      <c r="F401" s="31"/>
      <c r="G401" s="32"/>
      <c r="H401" s="33" t="str">
        <f aca="false">IF(C401="","",IF(G401="",IFERROR(INDEX(Products!$G$7:$G$104,MATCH(C401,Products!$B$7:$B$104,0)),0),G401))</f>
        <v/>
      </c>
      <c r="I401" s="33" t="str">
        <f aca="false">IF(C401="","",E401*H401)</f>
        <v/>
      </c>
      <c r="J401" s="1"/>
    </row>
    <row r="402" customFormat="false" ht="21.75" hidden="false" customHeight="true" outlineLevel="0" collapsed="false">
      <c r="A402" s="1"/>
      <c r="B402" s="38"/>
      <c r="C402" s="31"/>
      <c r="D402" s="35" t="str">
        <f aca="false">IF(C402="","",IFERROR(INDEX(Products!$C$7:$C$104,MATCH(C402,Products!$B$7:$B$104,0)),"Unknown SKU"))</f>
        <v/>
      </c>
      <c r="E402" s="31"/>
      <c r="F402" s="31"/>
      <c r="G402" s="32"/>
      <c r="H402" s="33" t="str">
        <f aca="false">IF(C402="","",IF(G402="",IFERROR(INDEX(Products!$G$7:$G$104,MATCH(C402,Products!$B$7:$B$104,0)),0),G402))</f>
        <v/>
      </c>
      <c r="I402" s="33" t="str">
        <f aca="false">IF(C402="","",E402*H402)</f>
        <v/>
      </c>
      <c r="J402" s="1"/>
    </row>
    <row r="403" customFormat="false" ht="21.75" hidden="false" customHeight="true" outlineLevel="0" collapsed="false">
      <c r="A403" s="1"/>
      <c r="B403" s="38"/>
      <c r="C403" s="31"/>
      <c r="D403" s="35" t="str">
        <f aca="false">IF(C403="","",IFERROR(INDEX(Products!$C$7:$C$104,MATCH(C403,Products!$B$7:$B$104,0)),"Unknown SKU"))</f>
        <v/>
      </c>
      <c r="E403" s="31"/>
      <c r="F403" s="31"/>
      <c r="G403" s="32"/>
      <c r="H403" s="33" t="str">
        <f aca="false">IF(C403="","",IF(G403="",IFERROR(INDEX(Products!$G$7:$G$104,MATCH(C403,Products!$B$7:$B$104,0)),0),G403))</f>
        <v/>
      </c>
      <c r="I403" s="33" t="str">
        <f aca="false">IF(C403="","",E403*H403)</f>
        <v/>
      </c>
      <c r="J403" s="1"/>
    </row>
    <row r="404" customFormat="false" ht="21.75" hidden="false" customHeight="true" outlineLevel="0" collapsed="false">
      <c r="A404" s="1"/>
      <c r="B404" s="38"/>
      <c r="C404" s="31"/>
      <c r="D404" s="35" t="str">
        <f aca="false">IF(C404="","",IFERROR(INDEX(Products!$C$7:$C$104,MATCH(C404,Products!$B$7:$B$104,0)),"Unknown SKU"))</f>
        <v/>
      </c>
      <c r="E404" s="31"/>
      <c r="F404" s="31"/>
      <c r="G404" s="32"/>
      <c r="H404" s="33" t="str">
        <f aca="false">IF(C404="","",IF(G404="",IFERROR(INDEX(Products!$G$7:$G$104,MATCH(C404,Products!$B$7:$B$104,0)),0),G404))</f>
        <v/>
      </c>
      <c r="I404" s="33" t="str">
        <f aca="false">IF(C404="","",E404*H404)</f>
        <v/>
      </c>
      <c r="J404" s="1"/>
    </row>
    <row r="405" customFormat="false" ht="21.75" hidden="false" customHeight="true" outlineLevel="0" collapsed="false">
      <c r="A405" s="1"/>
      <c r="B405" s="38"/>
      <c r="C405" s="31"/>
      <c r="D405" s="35" t="str">
        <f aca="false">IF(C405="","",IFERROR(INDEX(Products!$C$7:$C$104,MATCH(C405,Products!$B$7:$B$104,0)),"Unknown SKU"))</f>
        <v/>
      </c>
      <c r="E405" s="31"/>
      <c r="F405" s="31"/>
      <c r="G405" s="32"/>
      <c r="H405" s="33" t="str">
        <f aca="false">IF(C405="","",IF(G405="",IFERROR(INDEX(Products!$G$7:$G$104,MATCH(C405,Products!$B$7:$B$104,0)),0),G405))</f>
        <v/>
      </c>
      <c r="I405" s="33" t="str">
        <f aca="false">IF(C405="","",E405*H405)</f>
        <v/>
      </c>
      <c r="J405" s="1"/>
    </row>
    <row r="406" customFormat="false" ht="21.75" hidden="false" customHeight="true" outlineLevel="0" collapsed="false">
      <c r="A406" s="1"/>
      <c r="B406" s="38"/>
      <c r="C406" s="31"/>
      <c r="D406" s="35" t="str">
        <f aca="false">IF(C406="","",IFERROR(INDEX(Products!$C$7:$C$104,MATCH(C406,Products!$B$7:$B$104,0)),"Unknown SKU"))</f>
        <v/>
      </c>
      <c r="E406" s="31"/>
      <c r="F406" s="31"/>
      <c r="G406" s="32"/>
      <c r="H406" s="33" t="str">
        <f aca="false">IF(C406="","",IF(G406="",IFERROR(INDEX(Products!$G$7:$G$104,MATCH(C406,Products!$B$7:$B$104,0)),0),G406))</f>
        <v/>
      </c>
      <c r="I406" s="33" t="str">
        <f aca="false">IF(C406="","",E406*H406)</f>
        <v/>
      </c>
      <c r="J406" s="1"/>
    </row>
    <row r="407" customFormat="false" ht="21.75" hidden="false" customHeight="true" outlineLevel="0" collapsed="false">
      <c r="A407" s="1"/>
      <c r="B407" s="38"/>
      <c r="C407" s="31"/>
      <c r="D407" s="35" t="str">
        <f aca="false">IF(C407="","",IFERROR(INDEX(Products!$C$7:$C$104,MATCH(C407,Products!$B$7:$B$104,0)),"Unknown SKU"))</f>
        <v/>
      </c>
      <c r="E407" s="31"/>
      <c r="F407" s="31"/>
      <c r="G407" s="32"/>
      <c r="H407" s="33" t="str">
        <f aca="false">IF(C407="","",IF(G407="",IFERROR(INDEX(Products!$G$7:$G$104,MATCH(C407,Products!$B$7:$B$104,0)),0),G407))</f>
        <v/>
      </c>
      <c r="I407" s="33" t="str">
        <f aca="false">IF(C407="","",E407*H407)</f>
        <v/>
      </c>
      <c r="J407" s="1"/>
    </row>
    <row r="408" customFormat="false" ht="21.75" hidden="false" customHeight="true" outlineLevel="0" collapsed="false">
      <c r="A408" s="1"/>
      <c r="B408" s="38"/>
      <c r="C408" s="31"/>
      <c r="D408" s="35" t="str">
        <f aca="false">IF(C408="","",IFERROR(INDEX(Products!$C$7:$C$104,MATCH(C408,Products!$B$7:$B$104,0)),"Unknown SKU"))</f>
        <v/>
      </c>
      <c r="E408" s="31"/>
      <c r="F408" s="31"/>
      <c r="G408" s="32"/>
      <c r="H408" s="33" t="str">
        <f aca="false">IF(C408="","",IF(G408="",IFERROR(INDEX(Products!$G$7:$G$104,MATCH(C408,Products!$B$7:$B$104,0)),0),G408))</f>
        <v/>
      </c>
      <c r="I408" s="33" t="str">
        <f aca="false">IF(C408="","",E408*H408)</f>
        <v/>
      </c>
      <c r="J408" s="1"/>
    </row>
    <row r="409" customFormat="false" ht="21.75" hidden="false" customHeight="true" outlineLevel="0" collapsed="false">
      <c r="A409" s="1"/>
      <c r="B409" s="38"/>
      <c r="C409" s="31"/>
      <c r="D409" s="35" t="str">
        <f aca="false">IF(C409="","",IFERROR(INDEX(Products!$C$7:$C$104,MATCH(C409,Products!$B$7:$B$104,0)),"Unknown SKU"))</f>
        <v/>
      </c>
      <c r="E409" s="31"/>
      <c r="F409" s="31"/>
      <c r="G409" s="32"/>
      <c r="H409" s="33" t="str">
        <f aca="false">IF(C409="","",IF(G409="",IFERROR(INDEX(Products!$G$7:$G$104,MATCH(C409,Products!$B$7:$B$104,0)),0),G409))</f>
        <v/>
      </c>
      <c r="I409" s="33" t="str">
        <f aca="false">IF(C409="","",E409*H409)</f>
        <v/>
      </c>
      <c r="J409" s="1"/>
    </row>
    <row r="410" customFormat="false" ht="21.75" hidden="false" customHeight="true" outlineLevel="0" collapsed="false">
      <c r="A410" s="1"/>
      <c r="B410" s="38"/>
      <c r="C410" s="31"/>
      <c r="D410" s="35" t="str">
        <f aca="false">IF(C410="","",IFERROR(INDEX(Products!$C$7:$C$104,MATCH(C410,Products!$B$7:$B$104,0)),"Unknown SKU"))</f>
        <v/>
      </c>
      <c r="E410" s="31"/>
      <c r="F410" s="31"/>
      <c r="G410" s="32"/>
      <c r="H410" s="33" t="str">
        <f aca="false">IF(C410="","",IF(G410="",IFERROR(INDEX(Products!$G$7:$G$104,MATCH(C410,Products!$B$7:$B$104,0)),0),G410))</f>
        <v/>
      </c>
      <c r="I410" s="33" t="str">
        <f aca="false">IF(C410="","",E410*H410)</f>
        <v/>
      </c>
      <c r="J410" s="1"/>
    </row>
    <row r="411" customFormat="false" ht="21.75" hidden="false" customHeight="true" outlineLevel="0" collapsed="false">
      <c r="A411" s="1"/>
      <c r="B411" s="38"/>
      <c r="C411" s="31"/>
      <c r="D411" s="35" t="str">
        <f aca="false">IF(C411="","",IFERROR(INDEX(Products!$C$7:$C$104,MATCH(C411,Products!$B$7:$B$104,0)),"Unknown SKU"))</f>
        <v/>
      </c>
      <c r="E411" s="31"/>
      <c r="F411" s="31"/>
      <c r="G411" s="32"/>
      <c r="H411" s="33" t="str">
        <f aca="false">IF(C411="","",IF(G411="",IFERROR(INDEX(Products!$G$7:$G$104,MATCH(C411,Products!$B$7:$B$104,0)),0),G411))</f>
        <v/>
      </c>
      <c r="I411" s="33" t="str">
        <f aca="false">IF(C411="","",E411*H411)</f>
        <v/>
      </c>
      <c r="J411" s="1"/>
    </row>
    <row r="412" customFormat="false" ht="21.75" hidden="false" customHeight="true" outlineLevel="0" collapsed="false">
      <c r="A412" s="1"/>
      <c r="B412" s="38"/>
      <c r="C412" s="31"/>
      <c r="D412" s="35" t="str">
        <f aca="false">IF(C412="","",IFERROR(INDEX(Products!$C$7:$C$104,MATCH(C412,Products!$B$7:$B$104,0)),"Unknown SKU"))</f>
        <v/>
      </c>
      <c r="E412" s="31"/>
      <c r="F412" s="31"/>
      <c r="G412" s="32"/>
      <c r="H412" s="33" t="str">
        <f aca="false">IF(C412="","",IF(G412="",IFERROR(INDEX(Products!$G$7:$G$104,MATCH(C412,Products!$B$7:$B$104,0)),0),G412))</f>
        <v/>
      </c>
      <c r="I412" s="33" t="str">
        <f aca="false">IF(C412="","",E412*H412)</f>
        <v/>
      </c>
      <c r="J412" s="1"/>
    </row>
    <row r="413" customFormat="false" ht="21.75" hidden="false" customHeight="true" outlineLevel="0" collapsed="false">
      <c r="A413" s="1"/>
      <c r="B413" s="38"/>
      <c r="C413" s="31"/>
      <c r="D413" s="35" t="str">
        <f aca="false">IF(C413="","",IFERROR(INDEX(Products!$C$7:$C$104,MATCH(C413,Products!$B$7:$B$104,0)),"Unknown SKU"))</f>
        <v/>
      </c>
      <c r="E413" s="31"/>
      <c r="F413" s="31"/>
      <c r="G413" s="32"/>
      <c r="H413" s="33" t="str">
        <f aca="false">IF(C413="","",IF(G413="",IFERROR(INDEX(Products!$G$7:$G$104,MATCH(C413,Products!$B$7:$B$104,0)),0),G413))</f>
        <v/>
      </c>
      <c r="I413" s="33" t="str">
        <f aca="false">IF(C413="","",E413*H413)</f>
        <v/>
      </c>
      <c r="J413" s="1"/>
    </row>
    <row r="414" customFormat="false" ht="21.75" hidden="false" customHeight="true" outlineLevel="0" collapsed="false">
      <c r="A414" s="1"/>
      <c r="B414" s="38"/>
      <c r="C414" s="31"/>
      <c r="D414" s="35" t="str">
        <f aca="false">IF(C414="","",IFERROR(INDEX(Products!$C$7:$C$104,MATCH(C414,Products!$B$7:$B$104,0)),"Unknown SKU"))</f>
        <v/>
      </c>
      <c r="E414" s="31"/>
      <c r="F414" s="31"/>
      <c r="G414" s="32"/>
      <c r="H414" s="33" t="str">
        <f aca="false">IF(C414="","",IF(G414="",IFERROR(INDEX(Products!$G$7:$G$104,MATCH(C414,Products!$B$7:$B$104,0)),0),G414))</f>
        <v/>
      </c>
      <c r="I414" s="33" t="str">
        <f aca="false">IF(C414="","",E414*H414)</f>
        <v/>
      </c>
      <c r="J414" s="1"/>
    </row>
    <row r="415" customFormat="false" ht="21.75" hidden="false" customHeight="true" outlineLevel="0" collapsed="false">
      <c r="A415" s="1"/>
      <c r="B415" s="38"/>
      <c r="C415" s="31"/>
      <c r="D415" s="35" t="str">
        <f aca="false">IF(C415="","",IFERROR(INDEX(Products!$C$7:$C$104,MATCH(C415,Products!$B$7:$B$104,0)),"Unknown SKU"))</f>
        <v/>
      </c>
      <c r="E415" s="31"/>
      <c r="F415" s="31"/>
      <c r="G415" s="32"/>
      <c r="H415" s="33" t="str">
        <f aca="false">IF(C415="","",IF(G415="",IFERROR(INDEX(Products!$G$7:$G$104,MATCH(C415,Products!$B$7:$B$104,0)),0),G415))</f>
        <v/>
      </c>
      <c r="I415" s="33" t="str">
        <f aca="false">IF(C415="","",E415*H415)</f>
        <v/>
      </c>
      <c r="J415" s="1"/>
    </row>
    <row r="416" customFormat="false" ht="21.75" hidden="false" customHeight="true" outlineLevel="0" collapsed="false">
      <c r="A416" s="1"/>
      <c r="B416" s="38"/>
      <c r="C416" s="31"/>
      <c r="D416" s="35" t="str">
        <f aca="false">IF(C416="","",IFERROR(INDEX(Products!$C$7:$C$104,MATCH(C416,Products!$B$7:$B$104,0)),"Unknown SKU"))</f>
        <v/>
      </c>
      <c r="E416" s="31"/>
      <c r="F416" s="31"/>
      <c r="G416" s="32"/>
      <c r="H416" s="33" t="str">
        <f aca="false">IF(C416="","",IF(G416="",IFERROR(INDEX(Products!$G$7:$G$104,MATCH(C416,Products!$B$7:$B$104,0)),0),G416))</f>
        <v/>
      </c>
      <c r="I416" s="33" t="str">
        <f aca="false">IF(C416="","",E416*H416)</f>
        <v/>
      </c>
      <c r="J416" s="1"/>
    </row>
    <row r="417" customFormat="false" ht="21.75" hidden="false" customHeight="true" outlineLevel="0" collapsed="false">
      <c r="A417" s="1"/>
      <c r="B417" s="38"/>
      <c r="C417" s="31"/>
      <c r="D417" s="35" t="str">
        <f aca="false">IF(C417="","",IFERROR(INDEX(Products!$C$7:$C$104,MATCH(C417,Products!$B$7:$B$104,0)),"Unknown SKU"))</f>
        <v/>
      </c>
      <c r="E417" s="31"/>
      <c r="F417" s="31"/>
      <c r="G417" s="32"/>
      <c r="H417" s="33" t="str">
        <f aca="false">IF(C417="","",IF(G417="",IFERROR(INDEX(Products!$G$7:$G$104,MATCH(C417,Products!$B$7:$B$104,0)),0),G417))</f>
        <v/>
      </c>
      <c r="I417" s="33" t="str">
        <f aca="false">IF(C417="","",E417*H417)</f>
        <v/>
      </c>
      <c r="J417" s="1"/>
    </row>
    <row r="418" customFormat="false" ht="21.75" hidden="false" customHeight="true" outlineLevel="0" collapsed="false">
      <c r="A418" s="1"/>
      <c r="B418" s="38"/>
      <c r="C418" s="31"/>
      <c r="D418" s="35" t="str">
        <f aca="false">IF(C418="","",IFERROR(INDEX(Products!$C$7:$C$104,MATCH(C418,Products!$B$7:$B$104,0)),"Unknown SKU"))</f>
        <v/>
      </c>
      <c r="E418" s="31"/>
      <c r="F418" s="31"/>
      <c r="G418" s="32"/>
      <c r="H418" s="33" t="str">
        <f aca="false">IF(C418="","",IF(G418="",IFERROR(INDEX(Products!$G$7:$G$104,MATCH(C418,Products!$B$7:$B$104,0)),0),G418))</f>
        <v/>
      </c>
      <c r="I418" s="33" t="str">
        <f aca="false">IF(C418="","",E418*H418)</f>
        <v/>
      </c>
      <c r="J418" s="1"/>
    </row>
    <row r="419" customFormat="false" ht="21.75" hidden="false" customHeight="true" outlineLevel="0" collapsed="false">
      <c r="A419" s="1"/>
      <c r="B419" s="38"/>
      <c r="C419" s="31"/>
      <c r="D419" s="35" t="str">
        <f aca="false">IF(C419="","",IFERROR(INDEX(Products!$C$7:$C$104,MATCH(C419,Products!$B$7:$B$104,0)),"Unknown SKU"))</f>
        <v/>
      </c>
      <c r="E419" s="31"/>
      <c r="F419" s="31"/>
      <c r="G419" s="32"/>
      <c r="H419" s="33" t="str">
        <f aca="false">IF(C419="","",IF(G419="",IFERROR(INDEX(Products!$G$7:$G$104,MATCH(C419,Products!$B$7:$B$104,0)),0),G419))</f>
        <v/>
      </c>
      <c r="I419" s="33" t="str">
        <f aca="false">IF(C419="","",E419*H419)</f>
        <v/>
      </c>
      <c r="J419" s="1"/>
    </row>
    <row r="420" customFormat="false" ht="21.75" hidden="false" customHeight="true" outlineLevel="0" collapsed="false">
      <c r="A420" s="1"/>
      <c r="B420" s="38"/>
      <c r="C420" s="31"/>
      <c r="D420" s="35" t="str">
        <f aca="false">IF(C420="","",IFERROR(INDEX(Products!$C$7:$C$104,MATCH(C420,Products!$B$7:$B$104,0)),"Unknown SKU"))</f>
        <v/>
      </c>
      <c r="E420" s="31"/>
      <c r="F420" s="31"/>
      <c r="G420" s="32"/>
      <c r="H420" s="33" t="str">
        <f aca="false">IF(C420="","",IF(G420="",IFERROR(INDEX(Products!$G$7:$G$104,MATCH(C420,Products!$B$7:$B$104,0)),0),G420))</f>
        <v/>
      </c>
      <c r="I420" s="33" t="str">
        <f aca="false">IF(C420="","",E420*H420)</f>
        <v/>
      </c>
      <c r="J420" s="1"/>
    </row>
    <row r="421" customFormat="false" ht="21.75" hidden="false" customHeight="true" outlineLevel="0" collapsed="false">
      <c r="A421" s="1"/>
      <c r="B421" s="38"/>
      <c r="C421" s="31"/>
      <c r="D421" s="35" t="str">
        <f aca="false">IF(C421="","",IFERROR(INDEX(Products!$C$7:$C$104,MATCH(C421,Products!$B$7:$B$104,0)),"Unknown SKU"))</f>
        <v/>
      </c>
      <c r="E421" s="31"/>
      <c r="F421" s="31"/>
      <c r="G421" s="32"/>
      <c r="H421" s="33" t="str">
        <f aca="false">IF(C421="","",IF(G421="",IFERROR(INDEX(Products!$G$7:$G$104,MATCH(C421,Products!$B$7:$B$104,0)),0),G421))</f>
        <v/>
      </c>
      <c r="I421" s="33" t="str">
        <f aca="false">IF(C421="","",E421*H421)</f>
        <v/>
      </c>
      <c r="J421" s="1"/>
    </row>
    <row r="422" customFormat="false" ht="21.75" hidden="false" customHeight="true" outlineLevel="0" collapsed="false">
      <c r="A422" s="1"/>
      <c r="B422" s="38"/>
      <c r="C422" s="31"/>
      <c r="D422" s="35" t="str">
        <f aca="false">IF(C422="","",IFERROR(INDEX(Products!$C$7:$C$104,MATCH(C422,Products!$B$7:$B$104,0)),"Unknown SKU"))</f>
        <v/>
      </c>
      <c r="E422" s="31"/>
      <c r="F422" s="31"/>
      <c r="G422" s="32"/>
      <c r="H422" s="33" t="str">
        <f aca="false">IF(C422="","",IF(G422="",IFERROR(INDEX(Products!$G$7:$G$104,MATCH(C422,Products!$B$7:$B$104,0)),0),G422))</f>
        <v/>
      </c>
      <c r="I422" s="33" t="str">
        <f aca="false">IF(C422="","",E422*H422)</f>
        <v/>
      </c>
      <c r="J422" s="1"/>
    </row>
    <row r="423" customFormat="false" ht="21.75" hidden="false" customHeight="true" outlineLevel="0" collapsed="false">
      <c r="A423" s="1"/>
      <c r="B423" s="38"/>
      <c r="C423" s="31"/>
      <c r="D423" s="35" t="str">
        <f aca="false">IF(C423="","",IFERROR(INDEX(Products!$C$7:$C$104,MATCH(C423,Products!$B$7:$B$104,0)),"Unknown SKU"))</f>
        <v/>
      </c>
      <c r="E423" s="31"/>
      <c r="F423" s="31"/>
      <c r="G423" s="32"/>
      <c r="H423" s="33" t="str">
        <f aca="false">IF(C423="","",IF(G423="",IFERROR(INDEX(Products!$G$7:$G$104,MATCH(C423,Products!$B$7:$B$104,0)),0),G423))</f>
        <v/>
      </c>
      <c r="I423" s="33" t="str">
        <f aca="false">IF(C423="","",E423*H423)</f>
        <v/>
      </c>
      <c r="J423" s="1"/>
    </row>
    <row r="424" customFormat="false" ht="21.75" hidden="false" customHeight="true" outlineLevel="0" collapsed="false">
      <c r="A424" s="1"/>
      <c r="B424" s="38"/>
      <c r="C424" s="31"/>
      <c r="D424" s="35" t="str">
        <f aca="false">IF(C424="","",IFERROR(INDEX(Products!$C$7:$C$104,MATCH(C424,Products!$B$7:$B$104,0)),"Unknown SKU"))</f>
        <v/>
      </c>
      <c r="E424" s="31"/>
      <c r="F424" s="31"/>
      <c r="G424" s="32"/>
      <c r="H424" s="33" t="str">
        <f aca="false">IF(C424="","",IF(G424="",IFERROR(INDEX(Products!$G$7:$G$104,MATCH(C424,Products!$B$7:$B$104,0)),0),G424))</f>
        <v/>
      </c>
      <c r="I424" s="33" t="str">
        <f aca="false">IF(C424="","",E424*H424)</f>
        <v/>
      </c>
      <c r="J424" s="1"/>
    </row>
    <row r="425" customFormat="false" ht="21.75" hidden="false" customHeight="true" outlineLevel="0" collapsed="false">
      <c r="A425" s="1"/>
      <c r="B425" s="38"/>
      <c r="C425" s="31"/>
      <c r="D425" s="35" t="str">
        <f aca="false">IF(C425="","",IFERROR(INDEX(Products!$C$7:$C$104,MATCH(C425,Products!$B$7:$B$104,0)),"Unknown SKU"))</f>
        <v/>
      </c>
      <c r="E425" s="31"/>
      <c r="F425" s="31"/>
      <c r="G425" s="32"/>
      <c r="H425" s="33" t="str">
        <f aca="false">IF(C425="","",IF(G425="",IFERROR(INDEX(Products!$G$7:$G$104,MATCH(C425,Products!$B$7:$B$104,0)),0),G425))</f>
        <v/>
      </c>
      <c r="I425" s="33" t="str">
        <f aca="false">IF(C425="","",E425*H425)</f>
        <v/>
      </c>
      <c r="J425" s="1"/>
    </row>
    <row r="426" customFormat="false" ht="21.75" hidden="false" customHeight="true" outlineLevel="0" collapsed="false">
      <c r="A426" s="1"/>
      <c r="B426" s="38"/>
      <c r="C426" s="31"/>
      <c r="D426" s="35" t="str">
        <f aca="false">IF(C426="","",IFERROR(INDEX(Products!$C$7:$C$104,MATCH(C426,Products!$B$7:$B$104,0)),"Unknown SKU"))</f>
        <v/>
      </c>
      <c r="E426" s="31"/>
      <c r="F426" s="31"/>
      <c r="G426" s="32"/>
      <c r="H426" s="33" t="str">
        <f aca="false">IF(C426="","",IF(G426="",IFERROR(INDEX(Products!$G$7:$G$104,MATCH(C426,Products!$B$7:$B$104,0)),0),G426))</f>
        <v/>
      </c>
      <c r="I426" s="33" t="str">
        <f aca="false">IF(C426="","",E426*H426)</f>
        <v/>
      </c>
      <c r="J426" s="1"/>
    </row>
    <row r="427" customFormat="false" ht="21.75" hidden="false" customHeight="true" outlineLevel="0" collapsed="false">
      <c r="A427" s="1"/>
      <c r="B427" s="38"/>
      <c r="C427" s="31"/>
      <c r="D427" s="35" t="str">
        <f aca="false">IF(C427="","",IFERROR(INDEX(Products!$C$7:$C$104,MATCH(C427,Products!$B$7:$B$104,0)),"Unknown SKU"))</f>
        <v/>
      </c>
      <c r="E427" s="31"/>
      <c r="F427" s="31"/>
      <c r="G427" s="32"/>
      <c r="H427" s="33" t="str">
        <f aca="false">IF(C427="","",IF(G427="",IFERROR(INDEX(Products!$G$7:$G$104,MATCH(C427,Products!$B$7:$B$104,0)),0),G427))</f>
        <v/>
      </c>
      <c r="I427" s="33" t="str">
        <f aca="false">IF(C427="","",E427*H427)</f>
        <v/>
      </c>
      <c r="J427" s="1"/>
    </row>
    <row r="428" customFormat="false" ht="21.75" hidden="false" customHeight="true" outlineLevel="0" collapsed="false">
      <c r="A428" s="1"/>
      <c r="B428" s="38"/>
      <c r="C428" s="31"/>
      <c r="D428" s="35" t="str">
        <f aca="false">IF(C428="","",IFERROR(INDEX(Products!$C$7:$C$104,MATCH(C428,Products!$B$7:$B$104,0)),"Unknown SKU"))</f>
        <v/>
      </c>
      <c r="E428" s="31"/>
      <c r="F428" s="31"/>
      <c r="G428" s="32"/>
      <c r="H428" s="33" t="str">
        <f aca="false">IF(C428="","",IF(G428="",IFERROR(INDEX(Products!$G$7:$G$104,MATCH(C428,Products!$B$7:$B$104,0)),0),G428))</f>
        <v/>
      </c>
      <c r="I428" s="33" t="str">
        <f aca="false">IF(C428="","",E428*H428)</f>
        <v/>
      </c>
      <c r="J428" s="1"/>
    </row>
    <row r="429" customFormat="false" ht="21.75" hidden="false" customHeight="true" outlineLevel="0" collapsed="false">
      <c r="A429" s="1"/>
      <c r="B429" s="38"/>
      <c r="C429" s="31"/>
      <c r="D429" s="35" t="str">
        <f aca="false">IF(C429="","",IFERROR(INDEX(Products!$C$7:$C$104,MATCH(C429,Products!$B$7:$B$104,0)),"Unknown SKU"))</f>
        <v/>
      </c>
      <c r="E429" s="31"/>
      <c r="F429" s="31"/>
      <c r="G429" s="32"/>
      <c r="H429" s="33" t="str">
        <f aca="false">IF(C429="","",IF(G429="",IFERROR(INDEX(Products!$G$7:$G$104,MATCH(C429,Products!$B$7:$B$104,0)),0),G429))</f>
        <v/>
      </c>
      <c r="I429" s="33" t="str">
        <f aca="false">IF(C429="","",E429*H429)</f>
        <v/>
      </c>
      <c r="J429" s="1"/>
    </row>
    <row r="430" customFormat="false" ht="21.75" hidden="false" customHeight="true" outlineLevel="0" collapsed="false">
      <c r="A430" s="1"/>
      <c r="B430" s="38"/>
      <c r="C430" s="31"/>
      <c r="D430" s="35" t="str">
        <f aca="false">IF(C430="","",IFERROR(INDEX(Products!$C$7:$C$104,MATCH(C430,Products!$B$7:$B$104,0)),"Unknown SKU"))</f>
        <v/>
      </c>
      <c r="E430" s="31"/>
      <c r="F430" s="31"/>
      <c r="G430" s="32"/>
      <c r="H430" s="33" t="str">
        <f aca="false">IF(C430="","",IF(G430="",IFERROR(INDEX(Products!$G$7:$G$104,MATCH(C430,Products!$B$7:$B$104,0)),0),G430))</f>
        <v/>
      </c>
      <c r="I430" s="33" t="str">
        <f aca="false">IF(C430="","",E430*H430)</f>
        <v/>
      </c>
      <c r="J430" s="1"/>
    </row>
    <row r="431" customFormat="false" ht="21.75" hidden="false" customHeight="true" outlineLevel="0" collapsed="false">
      <c r="A431" s="1"/>
      <c r="B431" s="38"/>
      <c r="C431" s="31"/>
      <c r="D431" s="35" t="str">
        <f aca="false">IF(C431="","",IFERROR(INDEX(Products!$C$7:$C$104,MATCH(C431,Products!$B$7:$B$104,0)),"Unknown SKU"))</f>
        <v/>
      </c>
      <c r="E431" s="31"/>
      <c r="F431" s="31"/>
      <c r="G431" s="32"/>
      <c r="H431" s="33" t="str">
        <f aca="false">IF(C431="","",IF(G431="",IFERROR(INDEX(Products!$G$7:$G$104,MATCH(C431,Products!$B$7:$B$104,0)),0),G431))</f>
        <v/>
      </c>
      <c r="I431" s="33" t="str">
        <f aca="false">IF(C431="","",E431*H431)</f>
        <v/>
      </c>
      <c r="J431" s="1"/>
    </row>
    <row r="432" customFormat="false" ht="21.75" hidden="false" customHeight="true" outlineLevel="0" collapsed="false">
      <c r="A432" s="1"/>
      <c r="B432" s="38"/>
      <c r="C432" s="31"/>
      <c r="D432" s="35" t="str">
        <f aca="false">IF(C432="","",IFERROR(INDEX(Products!$C$7:$C$104,MATCH(C432,Products!$B$7:$B$104,0)),"Unknown SKU"))</f>
        <v/>
      </c>
      <c r="E432" s="31"/>
      <c r="F432" s="31"/>
      <c r="G432" s="32"/>
      <c r="H432" s="33" t="str">
        <f aca="false">IF(C432="","",IF(G432="",IFERROR(INDEX(Products!$G$7:$G$104,MATCH(C432,Products!$B$7:$B$104,0)),0),G432))</f>
        <v/>
      </c>
      <c r="I432" s="33" t="str">
        <f aca="false">IF(C432="","",E432*H432)</f>
        <v/>
      </c>
      <c r="J432" s="1"/>
    </row>
    <row r="433" customFormat="false" ht="21.75" hidden="false" customHeight="true" outlineLevel="0" collapsed="false">
      <c r="A433" s="1"/>
      <c r="B433" s="38"/>
      <c r="C433" s="31"/>
      <c r="D433" s="35" t="str">
        <f aca="false">IF(C433="","",IFERROR(INDEX(Products!$C$7:$C$104,MATCH(C433,Products!$B$7:$B$104,0)),"Unknown SKU"))</f>
        <v/>
      </c>
      <c r="E433" s="31"/>
      <c r="F433" s="31"/>
      <c r="G433" s="32"/>
      <c r="H433" s="33" t="str">
        <f aca="false">IF(C433="","",IF(G433="",IFERROR(INDEX(Products!$G$7:$G$104,MATCH(C433,Products!$B$7:$B$104,0)),0),G433))</f>
        <v/>
      </c>
      <c r="I433" s="33" t="str">
        <f aca="false">IF(C433="","",E433*H433)</f>
        <v/>
      </c>
      <c r="J433" s="1"/>
    </row>
    <row r="434" customFormat="false" ht="21.75" hidden="false" customHeight="true" outlineLevel="0" collapsed="false">
      <c r="A434" s="1"/>
      <c r="B434" s="38"/>
      <c r="C434" s="31"/>
      <c r="D434" s="35" t="str">
        <f aca="false">IF(C434="","",IFERROR(INDEX(Products!$C$7:$C$104,MATCH(C434,Products!$B$7:$B$104,0)),"Unknown SKU"))</f>
        <v/>
      </c>
      <c r="E434" s="31"/>
      <c r="F434" s="31"/>
      <c r="G434" s="32"/>
      <c r="H434" s="33" t="str">
        <f aca="false">IF(C434="","",IF(G434="",IFERROR(INDEX(Products!$G$7:$G$104,MATCH(C434,Products!$B$7:$B$104,0)),0),G434))</f>
        <v/>
      </c>
      <c r="I434" s="33" t="str">
        <f aca="false">IF(C434="","",E434*H434)</f>
        <v/>
      </c>
      <c r="J434" s="1"/>
    </row>
    <row r="435" customFormat="false" ht="21.75" hidden="false" customHeight="true" outlineLevel="0" collapsed="false">
      <c r="A435" s="1"/>
      <c r="B435" s="38"/>
      <c r="C435" s="31"/>
      <c r="D435" s="35" t="str">
        <f aca="false">IF(C435="","",IFERROR(INDEX(Products!$C$7:$C$104,MATCH(C435,Products!$B$7:$B$104,0)),"Unknown SKU"))</f>
        <v/>
      </c>
      <c r="E435" s="31"/>
      <c r="F435" s="31"/>
      <c r="G435" s="32"/>
      <c r="H435" s="33" t="str">
        <f aca="false">IF(C435="","",IF(G435="",IFERROR(INDEX(Products!$G$7:$G$104,MATCH(C435,Products!$B$7:$B$104,0)),0),G435))</f>
        <v/>
      </c>
      <c r="I435" s="33" t="str">
        <f aca="false">IF(C435="","",E435*H435)</f>
        <v/>
      </c>
      <c r="J435" s="1"/>
    </row>
    <row r="436" customFormat="false" ht="21.75" hidden="false" customHeight="true" outlineLevel="0" collapsed="false">
      <c r="A436" s="1"/>
      <c r="B436" s="38"/>
      <c r="C436" s="31"/>
      <c r="D436" s="35" t="str">
        <f aca="false">IF(C436="","",IFERROR(INDEX(Products!$C$7:$C$104,MATCH(C436,Products!$B$7:$B$104,0)),"Unknown SKU"))</f>
        <v/>
      </c>
      <c r="E436" s="31"/>
      <c r="F436" s="31"/>
      <c r="G436" s="32"/>
      <c r="H436" s="33" t="str">
        <f aca="false">IF(C436="","",IF(G436="",IFERROR(INDEX(Products!$G$7:$G$104,MATCH(C436,Products!$B$7:$B$104,0)),0),G436))</f>
        <v/>
      </c>
      <c r="I436" s="33" t="str">
        <f aca="false">IF(C436="","",E436*H436)</f>
        <v/>
      </c>
      <c r="J436" s="1"/>
    </row>
    <row r="437" customFormat="false" ht="21.75" hidden="false" customHeight="true" outlineLevel="0" collapsed="false">
      <c r="A437" s="1"/>
      <c r="B437" s="38"/>
      <c r="C437" s="31"/>
      <c r="D437" s="35" t="str">
        <f aca="false">IF(C437="","",IFERROR(INDEX(Products!$C$7:$C$104,MATCH(C437,Products!$B$7:$B$104,0)),"Unknown SKU"))</f>
        <v/>
      </c>
      <c r="E437" s="31"/>
      <c r="F437" s="31"/>
      <c r="G437" s="32"/>
      <c r="H437" s="33" t="str">
        <f aca="false">IF(C437="","",IF(G437="",IFERROR(INDEX(Products!$G$7:$G$104,MATCH(C437,Products!$B$7:$B$104,0)),0),G437))</f>
        <v/>
      </c>
      <c r="I437" s="33" t="str">
        <f aca="false">IF(C437="","",E437*H437)</f>
        <v/>
      </c>
      <c r="J437" s="1"/>
    </row>
    <row r="438" customFormat="false" ht="21.75" hidden="false" customHeight="true" outlineLevel="0" collapsed="false">
      <c r="A438" s="1"/>
      <c r="B438" s="38"/>
      <c r="C438" s="31"/>
      <c r="D438" s="35" t="str">
        <f aca="false">IF(C438="","",IFERROR(INDEX(Products!$C$7:$C$104,MATCH(C438,Products!$B$7:$B$104,0)),"Unknown SKU"))</f>
        <v/>
      </c>
      <c r="E438" s="31"/>
      <c r="F438" s="31"/>
      <c r="G438" s="32"/>
      <c r="H438" s="33" t="str">
        <f aca="false">IF(C438="","",IF(G438="",IFERROR(INDEX(Products!$G$7:$G$104,MATCH(C438,Products!$B$7:$B$104,0)),0),G438))</f>
        <v/>
      </c>
      <c r="I438" s="33" t="str">
        <f aca="false">IF(C438="","",E438*H438)</f>
        <v/>
      </c>
      <c r="J438" s="1"/>
    </row>
    <row r="439" customFormat="false" ht="21.75" hidden="false" customHeight="true" outlineLevel="0" collapsed="false">
      <c r="A439" s="1"/>
      <c r="B439" s="38"/>
      <c r="C439" s="31"/>
      <c r="D439" s="35" t="str">
        <f aca="false">IF(C439="","",IFERROR(INDEX(Products!$C$7:$C$104,MATCH(C439,Products!$B$7:$B$104,0)),"Unknown SKU"))</f>
        <v/>
      </c>
      <c r="E439" s="31"/>
      <c r="F439" s="31"/>
      <c r="G439" s="32"/>
      <c r="H439" s="33" t="str">
        <f aca="false">IF(C439="","",IF(G439="",IFERROR(INDEX(Products!$G$7:$G$104,MATCH(C439,Products!$B$7:$B$104,0)),0),G439))</f>
        <v/>
      </c>
      <c r="I439" s="33" t="str">
        <f aca="false">IF(C439="","",E439*H439)</f>
        <v/>
      </c>
      <c r="J439" s="1"/>
    </row>
    <row r="440" customFormat="false" ht="21.75" hidden="false" customHeight="true" outlineLevel="0" collapsed="false">
      <c r="A440" s="1"/>
      <c r="B440" s="38"/>
      <c r="C440" s="31"/>
      <c r="D440" s="35" t="str">
        <f aca="false">IF(C440="","",IFERROR(INDEX(Products!$C$7:$C$104,MATCH(C440,Products!$B$7:$B$104,0)),"Unknown SKU"))</f>
        <v/>
      </c>
      <c r="E440" s="31"/>
      <c r="F440" s="31"/>
      <c r="G440" s="32"/>
      <c r="H440" s="33" t="str">
        <f aca="false">IF(C440="","",IF(G440="",IFERROR(INDEX(Products!$G$7:$G$104,MATCH(C440,Products!$B$7:$B$104,0)),0),G440))</f>
        <v/>
      </c>
      <c r="I440" s="33" t="str">
        <f aca="false">IF(C440="","",E440*H440)</f>
        <v/>
      </c>
      <c r="J440" s="1"/>
    </row>
    <row r="441" customFormat="false" ht="21.75" hidden="false" customHeight="true" outlineLevel="0" collapsed="false">
      <c r="A441" s="1"/>
      <c r="B441" s="38"/>
      <c r="C441" s="31"/>
      <c r="D441" s="35" t="str">
        <f aca="false">IF(C441="","",IFERROR(INDEX(Products!$C$7:$C$104,MATCH(C441,Products!$B$7:$B$104,0)),"Unknown SKU"))</f>
        <v/>
      </c>
      <c r="E441" s="31"/>
      <c r="F441" s="31"/>
      <c r="G441" s="32"/>
      <c r="H441" s="33" t="str">
        <f aca="false">IF(C441="","",IF(G441="",IFERROR(INDEX(Products!$G$7:$G$104,MATCH(C441,Products!$B$7:$B$104,0)),0),G441))</f>
        <v/>
      </c>
      <c r="I441" s="33" t="str">
        <f aca="false">IF(C441="","",E441*H441)</f>
        <v/>
      </c>
      <c r="J441" s="1"/>
    </row>
    <row r="442" customFormat="false" ht="21.75" hidden="false" customHeight="true" outlineLevel="0" collapsed="false">
      <c r="A442" s="1"/>
      <c r="B442" s="38"/>
      <c r="C442" s="31"/>
      <c r="D442" s="35" t="str">
        <f aca="false">IF(C442="","",IFERROR(INDEX(Products!$C$7:$C$104,MATCH(C442,Products!$B$7:$B$104,0)),"Unknown SKU"))</f>
        <v/>
      </c>
      <c r="E442" s="31"/>
      <c r="F442" s="31"/>
      <c r="G442" s="32"/>
      <c r="H442" s="33" t="str">
        <f aca="false">IF(C442="","",IF(G442="",IFERROR(INDEX(Products!$G$7:$G$104,MATCH(C442,Products!$B$7:$B$104,0)),0),G442))</f>
        <v/>
      </c>
      <c r="I442" s="33" t="str">
        <f aca="false">IF(C442="","",E442*H442)</f>
        <v/>
      </c>
      <c r="J442" s="1"/>
    </row>
    <row r="443" customFormat="false" ht="21.75" hidden="false" customHeight="true" outlineLevel="0" collapsed="false">
      <c r="A443" s="1"/>
      <c r="B443" s="38"/>
      <c r="C443" s="31"/>
      <c r="D443" s="35" t="str">
        <f aca="false">IF(C443="","",IFERROR(INDEX(Products!$C$7:$C$104,MATCH(C443,Products!$B$7:$B$104,0)),"Unknown SKU"))</f>
        <v/>
      </c>
      <c r="E443" s="31"/>
      <c r="F443" s="31"/>
      <c r="G443" s="32"/>
      <c r="H443" s="33" t="str">
        <f aca="false">IF(C443="","",IF(G443="",IFERROR(INDEX(Products!$G$7:$G$104,MATCH(C443,Products!$B$7:$B$104,0)),0),G443))</f>
        <v/>
      </c>
      <c r="I443" s="33" t="str">
        <f aca="false">IF(C443="","",E443*H443)</f>
        <v/>
      </c>
      <c r="J443" s="1"/>
    </row>
    <row r="444" customFormat="false" ht="21.75" hidden="false" customHeight="true" outlineLevel="0" collapsed="false">
      <c r="A444" s="1"/>
      <c r="B444" s="38"/>
      <c r="C444" s="31"/>
      <c r="D444" s="35" t="str">
        <f aca="false">IF(C444="","",IFERROR(INDEX(Products!$C$7:$C$104,MATCH(C444,Products!$B$7:$B$104,0)),"Unknown SKU"))</f>
        <v/>
      </c>
      <c r="E444" s="31"/>
      <c r="F444" s="31"/>
      <c r="G444" s="32"/>
      <c r="H444" s="33" t="str">
        <f aca="false">IF(C444="","",IF(G444="",IFERROR(INDEX(Products!$G$7:$G$104,MATCH(C444,Products!$B$7:$B$104,0)),0),G444))</f>
        <v/>
      </c>
      <c r="I444" s="33" t="str">
        <f aca="false">IF(C444="","",E444*H444)</f>
        <v/>
      </c>
      <c r="J444" s="1"/>
    </row>
    <row r="445" customFormat="false" ht="21.75" hidden="false" customHeight="true" outlineLevel="0" collapsed="false">
      <c r="A445" s="1"/>
      <c r="B445" s="38"/>
      <c r="C445" s="31"/>
      <c r="D445" s="35" t="str">
        <f aca="false">IF(C445="","",IFERROR(INDEX(Products!$C$7:$C$104,MATCH(C445,Products!$B$7:$B$104,0)),"Unknown SKU"))</f>
        <v/>
      </c>
      <c r="E445" s="31"/>
      <c r="F445" s="31"/>
      <c r="G445" s="32"/>
      <c r="H445" s="33" t="str">
        <f aca="false">IF(C445="","",IF(G445="",IFERROR(INDEX(Products!$G$7:$G$104,MATCH(C445,Products!$B$7:$B$104,0)),0),G445))</f>
        <v/>
      </c>
      <c r="I445" s="33" t="str">
        <f aca="false">IF(C445="","",E445*H445)</f>
        <v/>
      </c>
      <c r="J445" s="1"/>
    </row>
    <row r="446" customFormat="false" ht="21.75" hidden="false" customHeight="true" outlineLevel="0" collapsed="false">
      <c r="A446" s="1"/>
      <c r="B446" s="38"/>
      <c r="C446" s="31"/>
      <c r="D446" s="35" t="str">
        <f aca="false">IF(C446="","",IFERROR(INDEX(Products!$C$7:$C$104,MATCH(C446,Products!$B$7:$B$104,0)),"Unknown SKU"))</f>
        <v/>
      </c>
      <c r="E446" s="31"/>
      <c r="F446" s="31"/>
      <c r="G446" s="32"/>
      <c r="H446" s="33" t="str">
        <f aca="false">IF(C446="","",IF(G446="",IFERROR(INDEX(Products!$G$7:$G$104,MATCH(C446,Products!$B$7:$B$104,0)),0),G446))</f>
        <v/>
      </c>
      <c r="I446" s="33" t="str">
        <f aca="false">IF(C446="","",E446*H446)</f>
        <v/>
      </c>
      <c r="J446" s="1"/>
    </row>
    <row r="447" customFormat="false" ht="21.75" hidden="false" customHeight="true" outlineLevel="0" collapsed="false">
      <c r="A447" s="1"/>
      <c r="B447" s="38"/>
      <c r="C447" s="31"/>
      <c r="D447" s="35" t="str">
        <f aca="false">IF(C447="","",IFERROR(INDEX(Products!$C$7:$C$104,MATCH(C447,Products!$B$7:$B$104,0)),"Unknown SKU"))</f>
        <v/>
      </c>
      <c r="E447" s="31"/>
      <c r="F447" s="31"/>
      <c r="G447" s="32"/>
      <c r="H447" s="33" t="str">
        <f aca="false">IF(C447="","",IF(G447="",IFERROR(INDEX(Products!$G$7:$G$104,MATCH(C447,Products!$B$7:$B$104,0)),0),G447))</f>
        <v/>
      </c>
      <c r="I447" s="33" t="str">
        <f aca="false">IF(C447="","",E447*H447)</f>
        <v/>
      </c>
      <c r="J447" s="1"/>
    </row>
    <row r="448" customFormat="false" ht="21.75" hidden="false" customHeight="true" outlineLevel="0" collapsed="false">
      <c r="A448" s="1"/>
      <c r="B448" s="38"/>
      <c r="C448" s="31"/>
      <c r="D448" s="35" t="str">
        <f aca="false">IF(C448="","",IFERROR(INDEX(Products!$C$7:$C$104,MATCH(C448,Products!$B$7:$B$104,0)),"Unknown SKU"))</f>
        <v/>
      </c>
      <c r="E448" s="31"/>
      <c r="F448" s="31"/>
      <c r="G448" s="32"/>
      <c r="H448" s="33" t="str">
        <f aca="false">IF(C448="","",IF(G448="",IFERROR(INDEX(Products!$G$7:$G$104,MATCH(C448,Products!$B$7:$B$104,0)),0),G448))</f>
        <v/>
      </c>
      <c r="I448" s="33" t="str">
        <f aca="false">IF(C448="","",E448*H448)</f>
        <v/>
      </c>
      <c r="J448" s="1"/>
    </row>
    <row r="449" customFormat="false" ht="21.75" hidden="false" customHeight="true" outlineLevel="0" collapsed="false">
      <c r="A449" s="1"/>
      <c r="B449" s="38"/>
      <c r="C449" s="31"/>
      <c r="D449" s="35" t="str">
        <f aca="false">IF(C449="","",IFERROR(INDEX(Products!$C$7:$C$104,MATCH(C449,Products!$B$7:$B$104,0)),"Unknown SKU"))</f>
        <v/>
      </c>
      <c r="E449" s="31"/>
      <c r="F449" s="31"/>
      <c r="G449" s="32"/>
      <c r="H449" s="33" t="str">
        <f aca="false">IF(C449="","",IF(G449="",IFERROR(INDEX(Products!$G$7:$G$104,MATCH(C449,Products!$B$7:$B$104,0)),0),G449))</f>
        <v/>
      </c>
      <c r="I449" s="33" t="str">
        <f aca="false">IF(C449="","",E449*H449)</f>
        <v/>
      </c>
      <c r="J449" s="1"/>
    </row>
    <row r="450" customFormat="false" ht="21.75" hidden="false" customHeight="true" outlineLevel="0" collapsed="false">
      <c r="A450" s="1"/>
      <c r="B450" s="38"/>
      <c r="C450" s="31"/>
      <c r="D450" s="35" t="str">
        <f aca="false">IF(C450="","",IFERROR(INDEX(Products!$C$7:$C$104,MATCH(C450,Products!$B$7:$B$104,0)),"Unknown SKU"))</f>
        <v/>
      </c>
      <c r="E450" s="31"/>
      <c r="F450" s="31"/>
      <c r="G450" s="32"/>
      <c r="H450" s="33" t="str">
        <f aca="false">IF(C450="","",IF(G450="",IFERROR(INDEX(Products!$G$7:$G$104,MATCH(C450,Products!$B$7:$B$104,0)),0),G450))</f>
        <v/>
      </c>
      <c r="I450" s="33" t="str">
        <f aca="false">IF(C450="","",E450*H450)</f>
        <v/>
      </c>
      <c r="J450" s="1"/>
    </row>
    <row r="451" customFormat="false" ht="21.75" hidden="false" customHeight="true" outlineLevel="0" collapsed="false">
      <c r="A451" s="1"/>
      <c r="B451" s="38"/>
      <c r="C451" s="31"/>
      <c r="D451" s="35" t="str">
        <f aca="false">IF(C451="","",IFERROR(INDEX(Products!$C$7:$C$104,MATCH(C451,Products!$B$7:$B$104,0)),"Unknown SKU"))</f>
        <v/>
      </c>
      <c r="E451" s="31"/>
      <c r="F451" s="31"/>
      <c r="G451" s="32"/>
      <c r="H451" s="33" t="str">
        <f aca="false">IF(C451="","",IF(G451="",IFERROR(INDEX(Products!$G$7:$G$104,MATCH(C451,Products!$B$7:$B$104,0)),0),G451))</f>
        <v/>
      </c>
      <c r="I451" s="33" t="str">
        <f aca="false">IF(C451="","",E451*H451)</f>
        <v/>
      </c>
      <c r="J451" s="1"/>
    </row>
    <row r="452" customFormat="false" ht="21.75" hidden="false" customHeight="true" outlineLevel="0" collapsed="false">
      <c r="A452" s="1"/>
      <c r="B452" s="38"/>
      <c r="C452" s="31"/>
      <c r="D452" s="35" t="str">
        <f aca="false">IF(C452="","",IFERROR(INDEX(Products!$C$7:$C$104,MATCH(C452,Products!$B$7:$B$104,0)),"Unknown SKU"))</f>
        <v/>
      </c>
      <c r="E452" s="31"/>
      <c r="F452" s="31"/>
      <c r="G452" s="32"/>
      <c r="H452" s="33" t="str">
        <f aca="false">IF(C452="","",IF(G452="",IFERROR(INDEX(Products!$G$7:$G$104,MATCH(C452,Products!$B$7:$B$104,0)),0),G452))</f>
        <v/>
      </c>
      <c r="I452" s="33" t="str">
        <f aca="false">IF(C452="","",E452*H452)</f>
        <v/>
      </c>
      <c r="J452" s="1"/>
    </row>
    <row r="453" customFormat="false" ht="21.75" hidden="false" customHeight="true" outlineLevel="0" collapsed="false">
      <c r="A453" s="1"/>
      <c r="B453" s="38"/>
      <c r="C453" s="31"/>
      <c r="D453" s="35" t="str">
        <f aca="false">IF(C453="","",IFERROR(INDEX(Products!$C$7:$C$104,MATCH(C453,Products!$B$7:$B$104,0)),"Unknown SKU"))</f>
        <v/>
      </c>
      <c r="E453" s="31"/>
      <c r="F453" s="31"/>
      <c r="G453" s="32"/>
      <c r="H453" s="33" t="str">
        <f aca="false">IF(C453="","",IF(G453="",IFERROR(INDEX(Products!$G$7:$G$104,MATCH(C453,Products!$B$7:$B$104,0)),0),G453))</f>
        <v/>
      </c>
      <c r="I453" s="33" t="str">
        <f aca="false">IF(C453="","",E453*H453)</f>
        <v/>
      </c>
      <c r="J453" s="1"/>
    </row>
    <row r="454" customFormat="false" ht="21.75" hidden="false" customHeight="true" outlineLevel="0" collapsed="false">
      <c r="A454" s="1"/>
      <c r="B454" s="38"/>
      <c r="C454" s="31"/>
      <c r="D454" s="35" t="str">
        <f aca="false">IF(C454="","",IFERROR(INDEX(Products!$C$7:$C$104,MATCH(C454,Products!$B$7:$B$104,0)),"Unknown SKU"))</f>
        <v/>
      </c>
      <c r="E454" s="31"/>
      <c r="F454" s="31"/>
      <c r="G454" s="32"/>
      <c r="H454" s="33" t="str">
        <f aca="false">IF(C454="","",IF(G454="",IFERROR(INDEX(Products!$G$7:$G$104,MATCH(C454,Products!$B$7:$B$104,0)),0),G454))</f>
        <v/>
      </c>
      <c r="I454" s="33" t="str">
        <f aca="false">IF(C454="","",E454*H454)</f>
        <v/>
      </c>
      <c r="J454" s="1"/>
    </row>
    <row r="455" customFormat="false" ht="21.75" hidden="false" customHeight="true" outlineLevel="0" collapsed="false">
      <c r="A455" s="1"/>
      <c r="B455" s="38"/>
      <c r="C455" s="31"/>
      <c r="D455" s="35" t="str">
        <f aca="false">IF(C455="","",IFERROR(INDEX(Products!$C$7:$C$104,MATCH(C455,Products!$B$7:$B$104,0)),"Unknown SKU"))</f>
        <v/>
      </c>
      <c r="E455" s="31"/>
      <c r="F455" s="31"/>
      <c r="G455" s="32"/>
      <c r="H455" s="33" t="str">
        <f aca="false">IF(C455="","",IF(G455="",IFERROR(INDEX(Products!$G$7:$G$104,MATCH(C455,Products!$B$7:$B$104,0)),0),G455))</f>
        <v/>
      </c>
      <c r="I455" s="33" t="str">
        <f aca="false">IF(C455="","",E455*H455)</f>
        <v/>
      </c>
      <c r="J455" s="1"/>
    </row>
    <row r="456" customFormat="false" ht="21.75" hidden="false" customHeight="true" outlineLevel="0" collapsed="false">
      <c r="A456" s="1"/>
      <c r="B456" s="38"/>
      <c r="C456" s="31"/>
      <c r="D456" s="35" t="str">
        <f aca="false">IF(C456="","",IFERROR(INDEX(Products!$C$7:$C$104,MATCH(C456,Products!$B$7:$B$104,0)),"Unknown SKU"))</f>
        <v/>
      </c>
      <c r="E456" s="31"/>
      <c r="F456" s="31"/>
      <c r="G456" s="32"/>
      <c r="H456" s="33" t="str">
        <f aca="false">IF(C456="","",IF(G456="",IFERROR(INDEX(Products!$G$7:$G$104,MATCH(C456,Products!$B$7:$B$104,0)),0),G456))</f>
        <v/>
      </c>
      <c r="I456" s="33" t="str">
        <f aca="false">IF(C456="","",E456*H456)</f>
        <v/>
      </c>
      <c r="J456" s="1"/>
    </row>
    <row r="457" customFormat="false" ht="21.75" hidden="false" customHeight="true" outlineLevel="0" collapsed="false">
      <c r="A457" s="1"/>
      <c r="B457" s="38"/>
      <c r="C457" s="31"/>
      <c r="D457" s="35" t="str">
        <f aca="false">IF(C457="","",IFERROR(INDEX(Products!$C$7:$C$104,MATCH(C457,Products!$B$7:$B$104,0)),"Unknown SKU"))</f>
        <v/>
      </c>
      <c r="E457" s="31"/>
      <c r="F457" s="31"/>
      <c r="G457" s="32"/>
      <c r="H457" s="33" t="str">
        <f aca="false">IF(C457="","",IF(G457="",IFERROR(INDEX(Products!$G$7:$G$104,MATCH(C457,Products!$B$7:$B$104,0)),0),G457))</f>
        <v/>
      </c>
      <c r="I457" s="33" t="str">
        <f aca="false">IF(C457="","",E457*H457)</f>
        <v/>
      </c>
      <c r="J457" s="1"/>
    </row>
    <row r="458" customFormat="false" ht="21.75" hidden="false" customHeight="true" outlineLevel="0" collapsed="false">
      <c r="A458" s="1"/>
      <c r="B458" s="38"/>
      <c r="C458" s="31"/>
      <c r="D458" s="35" t="str">
        <f aca="false">IF(C458="","",IFERROR(INDEX(Products!$C$7:$C$104,MATCH(C458,Products!$B$7:$B$104,0)),"Unknown SKU"))</f>
        <v/>
      </c>
      <c r="E458" s="31"/>
      <c r="F458" s="31"/>
      <c r="G458" s="32"/>
      <c r="H458" s="33" t="str">
        <f aca="false">IF(C458="","",IF(G458="",IFERROR(INDEX(Products!$G$7:$G$104,MATCH(C458,Products!$B$7:$B$104,0)),0),G458))</f>
        <v/>
      </c>
      <c r="I458" s="33" t="str">
        <f aca="false">IF(C458="","",E458*H458)</f>
        <v/>
      </c>
      <c r="J458" s="1"/>
    </row>
    <row r="459" customFormat="false" ht="21.75" hidden="false" customHeight="true" outlineLevel="0" collapsed="false">
      <c r="A459" s="1"/>
      <c r="B459" s="38"/>
      <c r="C459" s="31"/>
      <c r="D459" s="35" t="str">
        <f aca="false">IF(C459="","",IFERROR(INDEX(Products!$C$7:$C$104,MATCH(C459,Products!$B$7:$B$104,0)),"Unknown SKU"))</f>
        <v/>
      </c>
      <c r="E459" s="31"/>
      <c r="F459" s="31"/>
      <c r="G459" s="32"/>
      <c r="H459" s="33" t="str">
        <f aca="false">IF(C459="","",IF(G459="",IFERROR(INDEX(Products!$G$7:$G$104,MATCH(C459,Products!$B$7:$B$104,0)),0),G459))</f>
        <v/>
      </c>
      <c r="I459" s="33" t="str">
        <f aca="false">IF(C459="","",E459*H459)</f>
        <v/>
      </c>
      <c r="J459" s="1"/>
    </row>
    <row r="460" customFormat="false" ht="21.75" hidden="false" customHeight="true" outlineLevel="0" collapsed="false">
      <c r="A460" s="1"/>
      <c r="B460" s="38"/>
      <c r="C460" s="31"/>
      <c r="D460" s="35" t="str">
        <f aca="false">IF(C460="","",IFERROR(INDEX(Products!$C$7:$C$104,MATCH(C460,Products!$B$7:$B$104,0)),"Unknown SKU"))</f>
        <v/>
      </c>
      <c r="E460" s="31"/>
      <c r="F460" s="31"/>
      <c r="G460" s="32"/>
      <c r="H460" s="33" t="str">
        <f aca="false">IF(C460="","",IF(G460="",IFERROR(INDEX(Products!$G$7:$G$104,MATCH(C460,Products!$B$7:$B$104,0)),0),G460))</f>
        <v/>
      </c>
      <c r="I460" s="33" t="str">
        <f aca="false">IF(C460="","",E460*H460)</f>
        <v/>
      </c>
      <c r="J460" s="1"/>
    </row>
    <row r="461" customFormat="false" ht="21.75" hidden="false" customHeight="true" outlineLevel="0" collapsed="false">
      <c r="A461" s="1"/>
      <c r="B461" s="38"/>
      <c r="C461" s="31"/>
      <c r="D461" s="35" t="str">
        <f aca="false">IF(C461="","",IFERROR(INDEX(Products!$C$7:$C$104,MATCH(C461,Products!$B$7:$B$104,0)),"Unknown SKU"))</f>
        <v/>
      </c>
      <c r="E461" s="31"/>
      <c r="F461" s="31"/>
      <c r="G461" s="32"/>
      <c r="H461" s="33" t="str">
        <f aca="false">IF(C461="","",IF(G461="",IFERROR(INDEX(Products!$G$7:$G$104,MATCH(C461,Products!$B$7:$B$104,0)),0),G461))</f>
        <v/>
      </c>
      <c r="I461" s="33" t="str">
        <f aca="false">IF(C461="","",E461*H461)</f>
        <v/>
      </c>
      <c r="J461" s="1"/>
    </row>
    <row r="462" customFormat="false" ht="21.75" hidden="false" customHeight="true" outlineLevel="0" collapsed="false">
      <c r="A462" s="1"/>
      <c r="B462" s="38"/>
      <c r="C462" s="31"/>
      <c r="D462" s="35" t="str">
        <f aca="false">IF(C462="","",IFERROR(INDEX(Products!$C$7:$C$104,MATCH(C462,Products!$B$7:$B$104,0)),"Unknown SKU"))</f>
        <v/>
      </c>
      <c r="E462" s="31"/>
      <c r="F462" s="31"/>
      <c r="G462" s="32"/>
      <c r="H462" s="33" t="str">
        <f aca="false">IF(C462="","",IF(G462="",IFERROR(INDEX(Products!$G$7:$G$104,MATCH(C462,Products!$B$7:$B$104,0)),0),G462))</f>
        <v/>
      </c>
      <c r="I462" s="33" t="str">
        <f aca="false">IF(C462="","",E462*H462)</f>
        <v/>
      </c>
      <c r="J462" s="1"/>
    </row>
    <row r="463" customFormat="false" ht="21.75" hidden="false" customHeight="true" outlineLevel="0" collapsed="false">
      <c r="A463" s="1"/>
      <c r="B463" s="38"/>
      <c r="C463" s="31"/>
      <c r="D463" s="35" t="str">
        <f aca="false">IF(C463="","",IFERROR(INDEX(Products!$C$7:$C$104,MATCH(C463,Products!$B$7:$B$104,0)),"Unknown SKU"))</f>
        <v/>
      </c>
      <c r="E463" s="31"/>
      <c r="F463" s="31"/>
      <c r="G463" s="32"/>
      <c r="H463" s="33" t="str">
        <f aca="false">IF(C463="","",IF(G463="",IFERROR(INDEX(Products!$G$7:$G$104,MATCH(C463,Products!$B$7:$B$104,0)),0),G463))</f>
        <v/>
      </c>
      <c r="I463" s="33" t="str">
        <f aca="false">IF(C463="","",E463*H463)</f>
        <v/>
      </c>
      <c r="J463" s="1"/>
    </row>
    <row r="464" customFormat="false" ht="21.75" hidden="false" customHeight="true" outlineLevel="0" collapsed="false">
      <c r="A464" s="1"/>
      <c r="B464" s="38"/>
      <c r="C464" s="31"/>
      <c r="D464" s="35" t="str">
        <f aca="false">IF(C464="","",IFERROR(INDEX(Products!$C$7:$C$104,MATCH(C464,Products!$B$7:$B$104,0)),"Unknown SKU"))</f>
        <v/>
      </c>
      <c r="E464" s="31"/>
      <c r="F464" s="31"/>
      <c r="G464" s="32"/>
      <c r="H464" s="33" t="str">
        <f aca="false">IF(C464="","",IF(G464="",IFERROR(INDEX(Products!$G$7:$G$104,MATCH(C464,Products!$B$7:$B$104,0)),0),G464))</f>
        <v/>
      </c>
      <c r="I464" s="33" t="str">
        <f aca="false">IF(C464="","",E464*H464)</f>
        <v/>
      </c>
      <c r="J464" s="1"/>
    </row>
    <row r="465" customFormat="false" ht="21.75" hidden="false" customHeight="true" outlineLevel="0" collapsed="false">
      <c r="A465" s="1"/>
      <c r="B465" s="38"/>
      <c r="C465" s="31"/>
      <c r="D465" s="35" t="str">
        <f aca="false">IF(C465="","",IFERROR(INDEX(Products!$C$7:$C$104,MATCH(C465,Products!$B$7:$B$104,0)),"Unknown SKU"))</f>
        <v/>
      </c>
      <c r="E465" s="31"/>
      <c r="F465" s="31"/>
      <c r="G465" s="32"/>
      <c r="H465" s="33" t="str">
        <f aca="false">IF(C465="","",IF(G465="",IFERROR(INDEX(Products!$G$7:$G$104,MATCH(C465,Products!$B$7:$B$104,0)),0),G465))</f>
        <v/>
      </c>
      <c r="I465" s="33" t="str">
        <f aca="false">IF(C465="","",E465*H465)</f>
        <v/>
      </c>
      <c r="J465" s="1"/>
    </row>
    <row r="466" customFormat="false" ht="21.75" hidden="false" customHeight="true" outlineLevel="0" collapsed="false">
      <c r="A466" s="1"/>
      <c r="B466" s="38"/>
      <c r="C466" s="31"/>
      <c r="D466" s="35" t="str">
        <f aca="false">IF(C466="","",IFERROR(INDEX(Products!$C$7:$C$104,MATCH(C466,Products!$B$7:$B$104,0)),"Unknown SKU"))</f>
        <v/>
      </c>
      <c r="E466" s="31"/>
      <c r="F466" s="31"/>
      <c r="G466" s="32"/>
      <c r="H466" s="33" t="str">
        <f aca="false">IF(C466="","",IF(G466="",IFERROR(INDEX(Products!$G$7:$G$104,MATCH(C466,Products!$B$7:$B$104,0)),0),G466))</f>
        <v/>
      </c>
      <c r="I466" s="33" t="str">
        <f aca="false">IF(C466="","",E466*H466)</f>
        <v/>
      </c>
      <c r="J466" s="1"/>
    </row>
    <row r="467" customFormat="false" ht="21.75" hidden="false" customHeight="true" outlineLevel="0" collapsed="false">
      <c r="A467" s="1"/>
      <c r="B467" s="38"/>
      <c r="C467" s="31"/>
      <c r="D467" s="35" t="str">
        <f aca="false">IF(C467="","",IFERROR(INDEX(Products!$C$7:$C$104,MATCH(C467,Products!$B$7:$B$104,0)),"Unknown SKU"))</f>
        <v/>
      </c>
      <c r="E467" s="31"/>
      <c r="F467" s="31"/>
      <c r="G467" s="32"/>
      <c r="H467" s="33" t="str">
        <f aca="false">IF(C467="","",IF(G467="",IFERROR(INDEX(Products!$G$7:$G$104,MATCH(C467,Products!$B$7:$B$104,0)),0),G467))</f>
        <v/>
      </c>
      <c r="I467" s="33" t="str">
        <f aca="false">IF(C467="","",E467*H467)</f>
        <v/>
      </c>
      <c r="J467" s="1"/>
    </row>
    <row r="468" customFormat="false" ht="21.75" hidden="false" customHeight="true" outlineLevel="0" collapsed="false">
      <c r="A468" s="1"/>
      <c r="B468" s="38"/>
      <c r="C468" s="31"/>
      <c r="D468" s="35" t="str">
        <f aca="false">IF(C468="","",IFERROR(INDEX(Products!$C$7:$C$104,MATCH(C468,Products!$B$7:$B$104,0)),"Unknown SKU"))</f>
        <v/>
      </c>
      <c r="E468" s="31"/>
      <c r="F468" s="31"/>
      <c r="G468" s="32"/>
      <c r="H468" s="33" t="str">
        <f aca="false">IF(C468="","",IF(G468="",IFERROR(INDEX(Products!$G$7:$G$104,MATCH(C468,Products!$B$7:$B$104,0)),0),G468))</f>
        <v/>
      </c>
      <c r="I468" s="33" t="str">
        <f aca="false">IF(C468="","",E468*H468)</f>
        <v/>
      </c>
      <c r="J468" s="1"/>
    </row>
    <row r="469" customFormat="false" ht="21.75" hidden="false" customHeight="true" outlineLevel="0" collapsed="false">
      <c r="A469" s="1"/>
      <c r="B469" s="38"/>
      <c r="C469" s="31"/>
      <c r="D469" s="35" t="str">
        <f aca="false">IF(C469="","",IFERROR(INDEX(Products!$C$7:$C$104,MATCH(C469,Products!$B$7:$B$104,0)),"Unknown SKU"))</f>
        <v/>
      </c>
      <c r="E469" s="31"/>
      <c r="F469" s="31"/>
      <c r="G469" s="32"/>
      <c r="H469" s="33" t="str">
        <f aca="false">IF(C469="","",IF(G469="",IFERROR(INDEX(Products!$G$7:$G$104,MATCH(C469,Products!$B$7:$B$104,0)),0),G469))</f>
        <v/>
      </c>
      <c r="I469" s="33" t="str">
        <f aca="false">IF(C469="","",E469*H469)</f>
        <v/>
      </c>
      <c r="J469" s="1"/>
    </row>
    <row r="470" customFormat="false" ht="21.75" hidden="false" customHeight="true" outlineLevel="0" collapsed="false">
      <c r="A470" s="1"/>
      <c r="B470" s="38"/>
      <c r="C470" s="31"/>
      <c r="D470" s="35" t="str">
        <f aca="false">IF(C470="","",IFERROR(INDEX(Products!$C$7:$C$104,MATCH(C470,Products!$B$7:$B$104,0)),"Unknown SKU"))</f>
        <v/>
      </c>
      <c r="E470" s="31"/>
      <c r="F470" s="31"/>
      <c r="G470" s="32"/>
      <c r="H470" s="33" t="str">
        <f aca="false">IF(C470="","",IF(G470="",IFERROR(INDEX(Products!$G$7:$G$104,MATCH(C470,Products!$B$7:$B$104,0)),0),G470))</f>
        <v/>
      </c>
      <c r="I470" s="33" t="str">
        <f aca="false">IF(C470="","",E470*H470)</f>
        <v/>
      </c>
      <c r="J470" s="1"/>
    </row>
    <row r="471" customFormat="false" ht="21.75" hidden="false" customHeight="true" outlineLevel="0" collapsed="false">
      <c r="A471" s="1"/>
      <c r="B471" s="38"/>
      <c r="C471" s="31"/>
      <c r="D471" s="35" t="str">
        <f aca="false">IF(C471="","",IFERROR(INDEX(Products!$C$7:$C$104,MATCH(C471,Products!$B$7:$B$104,0)),"Unknown SKU"))</f>
        <v/>
      </c>
      <c r="E471" s="31"/>
      <c r="F471" s="31"/>
      <c r="G471" s="32"/>
      <c r="H471" s="33" t="str">
        <f aca="false">IF(C471="","",IF(G471="",IFERROR(INDEX(Products!$G$7:$G$104,MATCH(C471,Products!$B$7:$B$104,0)),0),G471))</f>
        <v/>
      </c>
      <c r="I471" s="33" t="str">
        <f aca="false">IF(C471="","",E471*H471)</f>
        <v/>
      </c>
      <c r="J471" s="1"/>
    </row>
    <row r="472" customFormat="false" ht="21.75" hidden="false" customHeight="true" outlineLevel="0" collapsed="false">
      <c r="A472" s="1"/>
      <c r="B472" s="38"/>
      <c r="C472" s="31"/>
      <c r="D472" s="35" t="str">
        <f aca="false">IF(C472="","",IFERROR(INDEX(Products!$C$7:$C$104,MATCH(C472,Products!$B$7:$B$104,0)),"Unknown SKU"))</f>
        <v/>
      </c>
      <c r="E472" s="31"/>
      <c r="F472" s="31"/>
      <c r="G472" s="32"/>
      <c r="H472" s="33" t="str">
        <f aca="false">IF(C472="","",IF(G472="",IFERROR(INDEX(Products!$G$7:$G$104,MATCH(C472,Products!$B$7:$B$104,0)),0),G472))</f>
        <v/>
      </c>
      <c r="I472" s="33" t="str">
        <f aca="false">IF(C472="","",E472*H472)</f>
        <v/>
      </c>
      <c r="J472" s="1"/>
    </row>
    <row r="473" customFormat="false" ht="21.75" hidden="false" customHeight="true" outlineLevel="0" collapsed="false">
      <c r="A473" s="1"/>
      <c r="B473" s="38"/>
      <c r="C473" s="31"/>
      <c r="D473" s="35" t="str">
        <f aca="false">IF(C473="","",IFERROR(INDEX(Products!$C$7:$C$104,MATCH(C473,Products!$B$7:$B$104,0)),"Unknown SKU"))</f>
        <v/>
      </c>
      <c r="E473" s="31"/>
      <c r="F473" s="31"/>
      <c r="G473" s="32"/>
      <c r="H473" s="33" t="str">
        <f aca="false">IF(C473="","",IF(G473="",IFERROR(INDEX(Products!$G$7:$G$104,MATCH(C473,Products!$B$7:$B$104,0)),0),G473))</f>
        <v/>
      </c>
      <c r="I473" s="33" t="str">
        <f aca="false">IF(C473="","",E473*H473)</f>
        <v/>
      </c>
      <c r="J473" s="1"/>
    </row>
    <row r="474" customFormat="false" ht="21.75" hidden="false" customHeight="true" outlineLevel="0" collapsed="false">
      <c r="A474" s="1"/>
      <c r="B474" s="38"/>
      <c r="C474" s="31"/>
      <c r="D474" s="35" t="str">
        <f aca="false">IF(C474="","",IFERROR(INDEX(Products!$C$7:$C$104,MATCH(C474,Products!$B$7:$B$104,0)),"Unknown SKU"))</f>
        <v/>
      </c>
      <c r="E474" s="31"/>
      <c r="F474" s="31"/>
      <c r="G474" s="32"/>
      <c r="H474" s="33" t="str">
        <f aca="false">IF(C474="","",IF(G474="",IFERROR(INDEX(Products!$G$7:$G$104,MATCH(C474,Products!$B$7:$B$104,0)),0),G474))</f>
        <v/>
      </c>
      <c r="I474" s="33" t="str">
        <f aca="false">IF(C474="","",E474*H474)</f>
        <v/>
      </c>
      <c r="J474" s="1"/>
    </row>
    <row r="475" customFormat="false" ht="21.75" hidden="false" customHeight="true" outlineLevel="0" collapsed="false">
      <c r="A475" s="1"/>
      <c r="B475" s="38"/>
      <c r="C475" s="31"/>
      <c r="D475" s="35" t="str">
        <f aca="false">IF(C475="","",IFERROR(INDEX(Products!$C$7:$C$104,MATCH(C475,Products!$B$7:$B$104,0)),"Unknown SKU"))</f>
        <v/>
      </c>
      <c r="E475" s="31"/>
      <c r="F475" s="31"/>
      <c r="G475" s="32"/>
      <c r="H475" s="33" t="str">
        <f aca="false">IF(C475="","",IF(G475="",IFERROR(INDEX(Products!$G$7:$G$104,MATCH(C475,Products!$B$7:$B$104,0)),0),G475))</f>
        <v/>
      </c>
      <c r="I475" s="33" t="str">
        <f aca="false">IF(C475="","",E475*H475)</f>
        <v/>
      </c>
      <c r="J475" s="1"/>
    </row>
    <row r="476" customFormat="false" ht="21.75" hidden="false" customHeight="true" outlineLevel="0" collapsed="false">
      <c r="A476" s="1"/>
      <c r="B476" s="38"/>
      <c r="C476" s="31"/>
      <c r="D476" s="35" t="str">
        <f aca="false">IF(C476="","",IFERROR(INDEX(Products!$C$7:$C$104,MATCH(C476,Products!$B$7:$B$104,0)),"Unknown SKU"))</f>
        <v/>
      </c>
      <c r="E476" s="31"/>
      <c r="F476" s="31"/>
      <c r="G476" s="32"/>
      <c r="H476" s="33" t="str">
        <f aca="false">IF(C476="","",IF(G476="",IFERROR(INDEX(Products!$G$7:$G$104,MATCH(C476,Products!$B$7:$B$104,0)),0),G476))</f>
        <v/>
      </c>
      <c r="I476" s="33" t="str">
        <f aca="false">IF(C476="","",E476*H476)</f>
        <v/>
      </c>
      <c r="J476" s="1"/>
    </row>
    <row r="477" customFormat="false" ht="21.75" hidden="false" customHeight="true" outlineLevel="0" collapsed="false">
      <c r="A477" s="1"/>
      <c r="B477" s="38"/>
      <c r="C477" s="31"/>
      <c r="D477" s="35" t="str">
        <f aca="false">IF(C477="","",IFERROR(INDEX(Products!$C$7:$C$104,MATCH(C477,Products!$B$7:$B$104,0)),"Unknown SKU"))</f>
        <v/>
      </c>
      <c r="E477" s="31"/>
      <c r="F477" s="31"/>
      <c r="G477" s="32"/>
      <c r="H477" s="33" t="str">
        <f aca="false">IF(C477="","",IF(G477="",IFERROR(INDEX(Products!$G$7:$G$104,MATCH(C477,Products!$B$7:$B$104,0)),0),G477))</f>
        <v/>
      </c>
      <c r="I477" s="33" t="str">
        <f aca="false">IF(C477="","",E477*H477)</f>
        <v/>
      </c>
      <c r="J477" s="1"/>
    </row>
    <row r="478" customFormat="false" ht="21.75" hidden="false" customHeight="true" outlineLevel="0" collapsed="false">
      <c r="A478" s="1"/>
      <c r="B478" s="38"/>
      <c r="C478" s="31"/>
      <c r="D478" s="35" t="str">
        <f aca="false">IF(C478="","",IFERROR(INDEX(Products!$C$7:$C$104,MATCH(C478,Products!$B$7:$B$104,0)),"Unknown SKU"))</f>
        <v/>
      </c>
      <c r="E478" s="31"/>
      <c r="F478" s="31"/>
      <c r="G478" s="32"/>
      <c r="H478" s="33" t="str">
        <f aca="false">IF(C478="","",IF(G478="",IFERROR(INDEX(Products!$G$7:$G$104,MATCH(C478,Products!$B$7:$B$104,0)),0),G478))</f>
        <v/>
      </c>
      <c r="I478" s="33" t="str">
        <f aca="false">IF(C478="","",E478*H478)</f>
        <v/>
      </c>
      <c r="J478" s="1"/>
    </row>
    <row r="479" customFormat="false" ht="21.75" hidden="false" customHeight="true" outlineLevel="0" collapsed="false">
      <c r="A479" s="1"/>
      <c r="B479" s="38"/>
      <c r="C479" s="31"/>
      <c r="D479" s="35" t="str">
        <f aca="false">IF(C479="","",IFERROR(INDEX(Products!$C$7:$C$104,MATCH(C479,Products!$B$7:$B$104,0)),"Unknown SKU"))</f>
        <v/>
      </c>
      <c r="E479" s="31"/>
      <c r="F479" s="31"/>
      <c r="G479" s="32"/>
      <c r="H479" s="33" t="str">
        <f aca="false">IF(C479="","",IF(G479="",IFERROR(INDEX(Products!$G$7:$G$104,MATCH(C479,Products!$B$7:$B$104,0)),0),G479))</f>
        <v/>
      </c>
      <c r="I479" s="33" t="str">
        <f aca="false">IF(C479="","",E479*H479)</f>
        <v/>
      </c>
      <c r="J479" s="1"/>
    </row>
    <row r="480" customFormat="false" ht="21.75" hidden="false" customHeight="true" outlineLevel="0" collapsed="false">
      <c r="A480" s="1"/>
      <c r="B480" s="38"/>
      <c r="C480" s="31"/>
      <c r="D480" s="35" t="str">
        <f aca="false">IF(C480="","",IFERROR(INDEX(Products!$C$7:$C$104,MATCH(C480,Products!$B$7:$B$104,0)),"Unknown SKU"))</f>
        <v/>
      </c>
      <c r="E480" s="31"/>
      <c r="F480" s="31"/>
      <c r="G480" s="32"/>
      <c r="H480" s="33" t="str">
        <f aca="false">IF(C480="","",IF(G480="",IFERROR(INDEX(Products!$G$7:$G$104,MATCH(C480,Products!$B$7:$B$104,0)),0),G480))</f>
        <v/>
      </c>
      <c r="I480" s="33" t="str">
        <f aca="false">IF(C480="","",E480*H480)</f>
        <v/>
      </c>
      <c r="J480" s="1"/>
    </row>
    <row r="481" customFormat="false" ht="21.75" hidden="false" customHeight="true" outlineLevel="0" collapsed="false">
      <c r="A481" s="1"/>
      <c r="B481" s="38"/>
      <c r="C481" s="31"/>
      <c r="D481" s="35" t="str">
        <f aca="false">IF(C481="","",IFERROR(INDEX(Products!$C$7:$C$104,MATCH(C481,Products!$B$7:$B$104,0)),"Unknown SKU"))</f>
        <v/>
      </c>
      <c r="E481" s="31"/>
      <c r="F481" s="31"/>
      <c r="G481" s="32"/>
      <c r="H481" s="33" t="str">
        <f aca="false">IF(C481="","",IF(G481="",IFERROR(INDEX(Products!$G$7:$G$104,MATCH(C481,Products!$B$7:$B$104,0)),0),G481))</f>
        <v/>
      </c>
      <c r="I481" s="33" t="str">
        <f aca="false">IF(C481="","",E481*H481)</f>
        <v/>
      </c>
      <c r="J481" s="1"/>
    </row>
    <row r="482" customFormat="false" ht="21.75" hidden="false" customHeight="true" outlineLevel="0" collapsed="false">
      <c r="A482" s="1"/>
      <c r="B482" s="38"/>
      <c r="C482" s="31"/>
      <c r="D482" s="35" t="str">
        <f aca="false">IF(C482="","",IFERROR(INDEX(Products!$C$7:$C$104,MATCH(C482,Products!$B$7:$B$104,0)),"Unknown SKU"))</f>
        <v/>
      </c>
      <c r="E482" s="31"/>
      <c r="F482" s="31"/>
      <c r="G482" s="32"/>
      <c r="H482" s="33" t="str">
        <f aca="false">IF(C482="","",IF(G482="",IFERROR(INDEX(Products!$G$7:$G$104,MATCH(C482,Products!$B$7:$B$104,0)),0),G482))</f>
        <v/>
      </c>
      <c r="I482" s="33" t="str">
        <f aca="false">IF(C482="","",E482*H482)</f>
        <v/>
      </c>
      <c r="J482" s="1"/>
    </row>
    <row r="483" customFormat="false" ht="21.75" hidden="false" customHeight="true" outlineLevel="0" collapsed="false">
      <c r="A483" s="1"/>
      <c r="B483" s="38"/>
      <c r="C483" s="31"/>
      <c r="D483" s="35" t="str">
        <f aca="false">IF(C483="","",IFERROR(INDEX(Products!$C$7:$C$104,MATCH(C483,Products!$B$7:$B$104,0)),"Unknown SKU"))</f>
        <v/>
      </c>
      <c r="E483" s="31"/>
      <c r="F483" s="31"/>
      <c r="G483" s="32"/>
      <c r="H483" s="33" t="str">
        <f aca="false">IF(C483="","",IF(G483="",IFERROR(INDEX(Products!$G$7:$G$104,MATCH(C483,Products!$B$7:$B$104,0)),0),G483))</f>
        <v/>
      </c>
      <c r="I483" s="33" t="str">
        <f aca="false">IF(C483="","",E483*H483)</f>
        <v/>
      </c>
      <c r="J483" s="1"/>
    </row>
    <row r="484" customFormat="false" ht="21.75" hidden="false" customHeight="true" outlineLevel="0" collapsed="false">
      <c r="A484" s="1"/>
      <c r="B484" s="38"/>
      <c r="C484" s="31"/>
      <c r="D484" s="35" t="str">
        <f aca="false">IF(C484="","",IFERROR(INDEX(Products!$C$7:$C$104,MATCH(C484,Products!$B$7:$B$104,0)),"Unknown SKU"))</f>
        <v/>
      </c>
      <c r="E484" s="31"/>
      <c r="F484" s="31"/>
      <c r="G484" s="32"/>
      <c r="H484" s="33" t="str">
        <f aca="false">IF(C484="","",IF(G484="",IFERROR(INDEX(Products!$G$7:$G$104,MATCH(C484,Products!$B$7:$B$104,0)),0),G484))</f>
        <v/>
      </c>
      <c r="I484" s="33" t="str">
        <f aca="false">IF(C484="","",E484*H484)</f>
        <v/>
      </c>
      <c r="J484" s="1"/>
    </row>
    <row r="485" customFormat="false" ht="21.75" hidden="false" customHeight="true" outlineLevel="0" collapsed="false">
      <c r="A485" s="1"/>
      <c r="B485" s="38"/>
      <c r="C485" s="31"/>
      <c r="D485" s="35" t="str">
        <f aca="false">IF(C485="","",IFERROR(INDEX(Products!$C$7:$C$104,MATCH(C485,Products!$B$7:$B$104,0)),"Unknown SKU"))</f>
        <v/>
      </c>
      <c r="E485" s="31"/>
      <c r="F485" s="31"/>
      <c r="G485" s="32"/>
      <c r="H485" s="33" t="str">
        <f aca="false">IF(C485="","",IF(G485="",IFERROR(INDEX(Products!$G$7:$G$104,MATCH(C485,Products!$B$7:$B$104,0)),0),G485))</f>
        <v/>
      </c>
      <c r="I485" s="33" t="str">
        <f aca="false">IF(C485="","",E485*H485)</f>
        <v/>
      </c>
      <c r="J485" s="1"/>
    </row>
    <row r="486" customFormat="false" ht="21.75" hidden="false" customHeight="true" outlineLevel="0" collapsed="false">
      <c r="A486" s="1"/>
      <c r="B486" s="38"/>
      <c r="C486" s="31"/>
      <c r="D486" s="35" t="str">
        <f aca="false">IF(C486="","",IFERROR(INDEX(Products!$C$7:$C$104,MATCH(C486,Products!$B$7:$B$104,0)),"Unknown SKU"))</f>
        <v/>
      </c>
      <c r="E486" s="31"/>
      <c r="F486" s="31"/>
      <c r="G486" s="32"/>
      <c r="H486" s="33" t="str">
        <f aca="false">IF(C486="","",IF(G486="",IFERROR(INDEX(Products!$G$7:$G$104,MATCH(C486,Products!$B$7:$B$104,0)),0),G486))</f>
        <v/>
      </c>
      <c r="I486" s="33" t="str">
        <f aca="false">IF(C486="","",E486*H486)</f>
        <v/>
      </c>
      <c r="J486" s="1"/>
    </row>
    <row r="487" customFormat="false" ht="21.75" hidden="false" customHeight="true" outlineLevel="0" collapsed="false">
      <c r="A487" s="1"/>
      <c r="B487" s="38"/>
      <c r="C487" s="31"/>
      <c r="D487" s="35" t="str">
        <f aca="false">IF(C487="","",IFERROR(INDEX(Products!$C$7:$C$104,MATCH(C487,Products!$B$7:$B$104,0)),"Unknown SKU"))</f>
        <v/>
      </c>
      <c r="E487" s="31"/>
      <c r="F487" s="31"/>
      <c r="G487" s="32"/>
      <c r="H487" s="33" t="str">
        <f aca="false">IF(C487="","",IF(G487="",IFERROR(INDEX(Products!$G$7:$G$104,MATCH(C487,Products!$B$7:$B$104,0)),0),G487))</f>
        <v/>
      </c>
      <c r="I487" s="33" t="str">
        <f aca="false">IF(C487="","",E487*H487)</f>
        <v/>
      </c>
      <c r="J487" s="1"/>
    </row>
    <row r="488" customFormat="false" ht="21.75" hidden="false" customHeight="true" outlineLevel="0" collapsed="false">
      <c r="A488" s="1"/>
      <c r="B488" s="38"/>
      <c r="C488" s="31"/>
      <c r="D488" s="35" t="str">
        <f aca="false">IF(C488="","",IFERROR(INDEX(Products!$C$7:$C$104,MATCH(C488,Products!$B$7:$B$104,0)),"Unknown SKU"))</f>
        <v/>
      </c>
      <c r="E488" s="31"/>
      <c r="F488" s="31"/>
      <c r="G488" s="32"/>
      <c r="H488" s="33" t="str">
        <f aca="false">IF(C488="","",IF(G488="",IFERROR(INDEX(Products!$G$7:$G$104,MATCH(C488,Products!$B$7:$B$104,0)),0),G488))</f>
        <v/>
      </c>
      <c r="I488" s="33" t="str">
        <f aca="false">IF(C488="","",E488*H488)</f>
        <v/>
      </c>
      <c r="J488" s="1"/>
    </row>
    <row r="489" customFormat="false" ht="21.75" hidden="false" customHeight="true" outlineLevel="0" collapsed="false">
      <c r="A489" s="1"/>
      <c r="B489" s="38"/>
      <c r="C489" s="31"/>
      <c r="D489" s="35" t="str">
        <f aca="false">IF(C489="","",IFERROR(INDEX(Products!$C$7:$C$104,MATCH(C489,Products!$B$7:$B$104,0)),"Unknown SKU"))</f>
        <v/>
      </c>
      <c r="E489" s="31"/>
      <c r="F489" s="31"/>
      <c r="G489" s="32"/>
      <c r="H489" s="33" t="str">
        <f aca="false">IF(C489="","",IF(G489="",IFERROR(INDEX(Products!$G$7:$G$104,MATCH(C489,Products!$B$7:$B$104,0)),0),G489))</f>
        <v/>
      </c>
      <c r="I489" s="33" t="str">
        <f aca="false">IF(C489="","",E489*H489)</f>
        <v/>
      </c>
      <c r="J489" s="1"/>
    </row>
    <row r="490" customFormat="false" ht="21.75" hidden="false" customHeight="true" outlineLevel="0" collapsed="false">
      <c r="A490" s="1"/>
      <c r="B490" s="38"/>
      <c r="C490" s="31"/>
      <c r="D490" s="35" t="str">
        <f aca="false">IF(C490="","",IFERROR(INDEX(Products!$C$7:$C$104,MATCH(C490,Products!$B$7:$B$104,0)),"Unknown SKU"))</f>
        <v/>
      </c>
      <c r="E490" s="31"/>
      <c r="F490" s="31"/>
      <c r="G490" s="32"/>
      <c r="H490" s="33" t="str">
        <f aca="false">IF(C490="","",IF(G490="",IFERROR(INDEX(Products!$G$7:$G$104,MATCH(C490,Products!$B$7:$B$104,0)),0),G490))</f>
        <v/>
      </c>
      <c r="I490" s="33" t="str">
        <f aca="false">IF(C490="","",E490*H490)</f>
        <v/>
      </c>
      <c r="J490" s="1"/>
    </row>
    <row r="491" customFormat="false" ht="21.75" hidden="false" customHeight="true" outlineLevel="0" collapsed="false">
      <c r="A491" s="1"/>
      <c r="B491" s="38"/>
      <c r="C491" s="31"/>
      <c r="D491" s="35" t="str">
        <f aca="false">IF(C491="","",IFERROR(INDEX(Products!$C$7:$C$104,MATCH(C491,Products!$B$7:$B$104,0)),"Unknown SKU"))</f>
        <v/>
      </c>
      <c r="E491" s="31"/>
      <c r="F491" s="31"/>
      <c r="G491" s="32"/>
      <c r="H491" s="33" t="str">
        <f aca="false">IF(C491="","",IF(G491="",IFERROR(INDEX(Products!$G$7:$G$104,MATCH(C491,Products!$B$7:$B$104,0)),0),G491))</f>
        <v/>
      </c>
      <c r="I491" s="33" t="str">
        <f aca="false">IF(C491="","",E491*H491)</f>
        <v/>
      </c>
      <c r="J491" s="1"/>
    </row>
    <row r="492" customFormat="false" ht="21.75" hidden="false" customHeight="true" outlineLevel="0" collapsed="false">
      <c r="A492" s="1"/>
      <c r="B492" s="38"/>
      <c r="C492" s="31"/>
      <c r="D492" s="35" t="str">
        <f aca="false">IF(C492="","",IFERROR(INDEX(Products!$C$7:$C$104,MATCH(C492,Products!$B$7:$B$104,0)),"Unknown SKU"))</f>
        <v/>
      </c>
      <c r="E492" s="31"/>
      <c r="F492" s="31"/>
      <c r="G492" s="32"/>
      <c r="H492" s="33" t="str">
        <f aca="false">IF(C492="","",IF(G492="",IFERROR(INDEX(Products!$G$7:$G$104,MATCH(C492,Products!$B$7:$B$104,0)),0),G492))</f>
        <v/>
      </c>
      <c r="I492" s="33" t="str">
        <f aca="false">IF(C492="","",E492*H492)</f>
        <v/>
      </c>
      <c r="J492" s="1"/>
    </row>
    <row r="493" customFormat="false" ht="21.75" hidden="false" customHeight="true" outlineLevel="0" collapsed="false">
      <c r="A493" s="1"/>
      <c r="B493" s="38"/>
      <c r="C493" s="31"/>
      <c r="D493" s="35" t="str">
        <f aca="false">IF(C493="","",IFERROR(INDEX(Products!$C$7:$C$104,MATCH(C493,Products!$B$7:$B$104,0)),"Unknown SKU"))</f>
        <v/>
      </c>
      <c r="E493" s="31"/>
      <c r="F493" s="31"/>
      <c r="G493" s="32"/>
      <c r="H493" s="33" t="str">
        <f aca="false">IF(C493="","",IF(G493="",IFERROR(INDEX(Products!$G$7:$G$104,MATCH(C493,Products!$B$7:$B$104,0)),0),G493))</f>
        <v/>
      </c>
      <c r="I493" s="33" t="str">
        <f aca="false">IF(C493="","",E493*H493)</f>
        <v/>
      </c>
      <c r="J493" s="1"/>
    </row>
    <row r="494" customFormat="false" ht="21.75" hidden="false" customHeight="true" outlineLevel="0" collapsed="false">
      <c r="A494" s="1"/>
      <c r="B494" s="38"/>
      <c r="C494" s="31"/>
      <c r="D494" s="35" t="str">
        <f aca="false">IF(C494="","",IFERROR(INDEX(Products!$C$7:$C$104,MATCH(C494,Products!$B$7:$B$104,0)),"Unknown SKU"))</f>
        <v/>
      </c>
      <c r="E494" s="31"/>
      <c r="F494" s="31"/>
      <c r="G494" s="32"/>
      <c r="H494" s="33" t="str">
        <f aca="false">IF(C494="","",IF(G494="",IFERROR(INDEX(Products!$G$7:$G$104,MATCH(C494,Products!$B$7:$B$104,0)),0),G494))</f>
        <v/>
      </c>
      <c r="I494" s="33" t="str">
        <f aca="false">IF(C494="","",E494*H494)</f>
        <v/>
      </c>
      <c r="J494" s="1"/>
    </row>
    <row r="495" customFormat="false" ht="21.75" hidden="false" customHeight="true" outlineLevel="0" collapsed="false">
      <c r="A495" s="1"/>
      <c r="B495" s="38"/>
      <c r="C495" s="31"/>
      <c r="D495" s="35" t="str">
        <f aca="false">IF(C495="","",IFERROR(INDEX(Products!$C$7:$C$104,MATCH(C495,Products!$B$7:$B$104,0)),"Unknown SKU"))</f>
        <v/>
      </c>
      <c r="E495" s="31"/>
      <c r="F495" s="31"/>
      <c r="G495" s="32"/>
      <c r="H495" s="33" t="str">
        <f aca="false">IF(C495="","",IF(G495="",IFERROR(INDEX(Products!$G$7:$G$104,MATCH(C495,Products!$B$7:$B$104,0)),0),G495))</f>
        <v/>
      </c>
      <c r="I495" s="33" t="str">
        <f aca="false">IF(C495="","",E495*H495)</f>
        <v/>
      </c>
      <c r="J495" s="1"/>
    </row>
    <row r="496" customFormat="false" ht="21.75" hidden="false" customHeight="true" outlineLevel="0" collapsed="false">
      <c r="A496" s="1"/>
      <c r="B496" s="38"/>
      <c r="C496" s="31"/>
      <c r="D496" s="35" t="str">
        <f aca="false">IF(C496="","",IFERROR(INDEX(Products!$C$7:$C$104,MATCH(C496,Products!$B$7:$B$104,0)),"Unknown SKU"))</f>
        <v/>
      </c>
      <c r="E496" s="31"/>
      <c r="F496" s="31"/>
      <c r="G496" s="32"/>
      <c r="H496" s="33" t="str">
        <f aca="false">IF(C496="","",IF(G496="",IFERROR(INDEX(Products!$G$7:$G$104,MATCH(C496,Products!$B$7:$B$104,0)),0),G496))</f>
        <v/>
      </c>
      <c r="I496" s="33" t="str">
        <f aca="false">IF(C496="","",E496*H496)</f>
        <v/>
      </c>
      <c r="J496" s="1"/>
    </row>
    <row r="497" customFormat="false" ht="21.75" hidden="false" customHeight="true" outlineLevel="0" collapsed="false">
      <c r="A497" s="1"/>
      <c r="B497" s="38"/>
      <c r="C497" s="31"/>
      <c r="D497" s="35" t="str">
        <f aca="false">IF(C497="","",IFERROR(INDEX(Products!$C$7:$C$104,MATCH(C497,Products!$B$7:$B$104,0)),"Unknown SKU"))</f>
        <v/>
      </c>
      <c r="E497" s="31"/>
      <c r="F497" s="31"/>
      <c r="G497" s="32"/>
      <c r="H497" s="33" t="str">
        <f aca="false">IF(C497="","",IF(G497="",IFERROR(INDEX(Products!$G$7:$G$104,MATCH(C497,Products!$B$7:$B$104,0)),0),G497))</f>
        <v/>
      </c>
      <c r="I497" s="33" t="str">
        <f aca="false">IF(C497="","",E497*H497)</f>
        <v/>
      </c>
      <c r="J497" s="1"/>
    </row>
    <row r="498" customFormat="false" ht="21.75" hidden="false" customHeight="true" outlineLevel="0" collapsed="false">
      <c r="A498" s="1"/>
      <c r="B498" s="38"/>
      <c r="C498" s="31"/>
      <c r="D498" s="35" t="str">
        <f aca="false">IF(C498="","",IFERROR(INDEX(Products!$C$7:$C$104,MATCH(C498,Products!$B$7:$B$104,0)),"Unknown SKU"))</f>
        <v/>
      </c>
      <c r="E498" s="31"/>
      <c r="F498" s="31"/>
      <c r="G498" s="32"/>
      <c r="H498" s="33" t="str">
        <f aca="false">IF(C498="","",IF(G498="",IFERROR(INDEX(Products!$G$7:$G$104,MATCH(C498,Products!$B$7:$B$104,0)),0),G498))</f>
        <v/>
      </c>
      <c r="I498" s="33" t="str">
        <f aca="false">IF(C498="","",E498*H498)</f>
        <v/>
      </c>
      <c r="J498" s="1"/>
    </row>
    <row r="499" customFormat="false" ht="21.75" hidden="false" customHeight="true" outlineLevel="0" collapsed="false">
      <c r="A499" s="1"/>
      <c r="B499" s="38"/>
      <c r="C499" s="31"/>
      <c r="D499" s="35" t="str">
        <f aca="false">IF(C499="","",IFERROR(INDEX(Products!$C$7:$C$104,MATCH(C499,Products!$B$7:$B$104,0)),"Unknown SKU"))</f>
        <v/>
      </c>
      <c r="E499" s="31"/>
      <c r="F499" s="31"/>
      <c r="G499" s="32"/>
      <c r="H499" s="33" t="str">
        <f aca="false">IF(C499="","",IF(G499="",IFERROR(INDEX(Products!$G$7:$G$104,MATCH(C499,Products!$B$7:$B$104,0)),0),G499))</f>
        <v/>
      </c>
      <c r="I499" s="33" t="str">
        <f aca="false">IF(C499="","",E499*H499)</f>
        <v/>
      </c>
      <c r="J499" s="1"/>
    </row>
    <row r="500" customFormat="false" ht="21.75" hidden="false" customHeight="true" outlineLevel="0" collapsed="false">
      <c r="A500" s="1"/>
      <c r="B500" s="38"/>
      <c r="C500" s="31"/>
      <c r="D500" s="35" t="str">
        <f aca="false">IF(C500="","",IFERROR(INDEX(Products!$C$7:$C$104,MATCH(C500,Products!$B$7:$B$104,0)),"Unknown SKU"))</f>
        <v/>
      </c>
      <c r="E500" s="31"/>
      <c r="F500" s="31"/>
      <c r="G500" s="32"/>
      <c r="H500" s="33" t="str">
        <f aca="false">IF(C500="","",IF(G500="",IFERROR(INDEX(Products!$G$7:$G$104,MATCH(C500,Products!$B$7:$B$104,0)),0),G500))</f>
        <v/>
      </c>
      <c r="I500" s="33" t="str">
        <f aca="false">IF(C500="","",E500*H500)</f>
        <v/>
      </c>
      <c r="J500" s="1"/>
    </row>
    <row r="501" customFormat="false" ht="21.75" hidden="false" customHeight="true" outlineLevel="0" collapsed="false">
      <c r="A501" s="1"/>
      <c r="B501" s="38"/>
      <c r="C501" s="31"/>
      <c r="D501" s="35" t="str">
        <f aca="false">IF(C501="","",IFERROR(INDEX(Products!$C$7:$C$104,MATCH(C501,Products!$B$7:$B$104,0)),"Unknown SKU"))</f>
        <v/>
      </c>
      <c r="E501" s="31"/>
      <c r="F501" s="31"/>
      <c r="G501" s="32"/>
      <c r="H501" s="33" t="str">
        <f aca="false">IF(C501="","",IF(G501="",IFERROR(INDEX(Products!$G$7:$G$104,MATCH(C501,Products!$B$7:$B$104,0)),0),G501))</f>
        <v/>
      </c>
      <c r="I501" s="33" t="str">
        <f aca="false">IF(C501="","",E501*H501)</f>
        <v/>
      </c>
      <c r="J501" s="1"/>
    </row>
    <row r="502" customFormat="false" ht="21.75" hidden="false" customHeight="true" outlineLevel="0" collapsed="false">
      <c r="A502" s="1"/>
      <c r="B502" s="38"/>
      <c r="C502" s="31"/>
      <c r="D502" s="35" t="str">
        <f aca="false">IF(C502="","",IFERROR(INDEX(Products!$C$7:$C$104,MATCH(C502,Products!$B$7:$B$104,0)),"Unknown SKU"))</f>
        <v/>
      </c>
      <c r="E502" s="31"/>
      <c r="F502" s="31"/>
      <c r="G502" s="32"/>
      <c r="H502" s="33" t="str">
        <f aca="false">IF(C502="","",IF(G502="",IFERROR(INDEX(Products!$G$7:$G$104,MATCH(C502,Products!$B$7:$B$104,0)),0),G502))</f>
        <v/>
      </c>
      <c r="I502" s="33" t="str">
        <f aca="false">IF(C502="","",E502*H502)</f>
        <v/>
      </c>
      <c r="J502" s="1"/>
    </row>
    <row r="503" customFormat="false" ht="21.75" hidden="false" customHeight="true" outlineLevel="0" collapsed="false">
      <c r="A503" s="1"/>
      <c r="B503" s="38"/>
      <c r="C503" s="31"/>
      <c r="D503" s="35" t="str">
        <f aca="false">IF(C503="","",IFERROR(INDEX(Products!$C$7:$C$104,MATCH(C503,Products!$B$7:$B$104,0)),"Unknown SKU"))</f>
        <v/>
      </c>
      <c r="E503" s="31"/>
      <c r="F503" s="31"/>
      <c r="G503" s="32"/>
      <c r="H503" s="33" t="str">
        <f aca="false">IF(C503="","",IF(G503="",IFERROR(INDEX(Products!$G$7:$G$104,MATCH(C503,Products!$B$7:$B$104,0)),0),G503))</f>
        <v/>
      </c>
      <c r="I503" s="33" t="str">
        <f aca="false">IF(C503="","",E503*H503)</f>
        <v/>
      </c>
      <c r="J503" s="1"/>
    </row>
    <row r="504" customFormat="false" ht="21.75" hidden="false" customHeight="true" outlineLevel="0" collapsed="false">
      <c r="A504" s="1"/>
      <c r="B504" s="38"/>
      <c r="C504" s="31"/>
      <c r="D504" s="35" t="str">
        <f aca="false">IF(C504="","",IFERROR(INDEX(Products!$C$7:$C$104,MATCH(C504,Products!$B$7:$B$104,0)),"Unknown SKU"))</f>
        <v/>
      </c>
      <c r="E504" s="31"/>
      <c r="F504" s="31"/>
      <c r="G504" s="32"/>
      <c r="H504" s="33" t="str">
        <f aca="false">IF(C504="","",IF(G504="",IFERROR(INDEX(Products!$G$7:$G$104,MATCH(C504,Products!$B$7:$B$104,0)),0),G504))</f>
        <v/>
      </c>
      <c r="I504" s="33" t="str">
        <f aca="false">IF(C504="","",E504*H504)</f>
        <v/>
      </c>
      <c r="J504" s="1"/>
    </row>
    <row r="505" customFormat="false" ht="21.75" hidden="false" customHeight="true" outlineLevel="0" collapsed="false">
      <c r="A505" s="1"/>
      <c r="B505" s="1"/>
      <c r="C505" s="1"/>
      <c r="D505" s="1"/>
      <c r="E505" s="1"/>
      <c r="F505" s="1"/>
      <c r="G505" s="1"/>
      <c r="H505" s="1"/>
      <c r="I505" s="1"/>
      <c r="J505" s="1"/>
    </row>
    <row r="506" customFormat="false" ht="21.75" hidden="false" customHeight="true" outlineLevel="0" collapsed="false">
      <c r="A506" s="1"/>
      <c r="B506" s="1"/>
      <c r="C506" s="1"/>
      <c r="D506" s="1"/>
      <c r="E506" s="1"/>
      <c r="F506" s="1"/>
      <c r="G506" s="1"/>
      <c r="H506" s="1"/>
      <c r="I506" s="1"/>
      <c r="J506" s="1"/>
    </row>
  </sheetData>
  <sheetProtection sheet="true" formatColumns="false" formatRows="false" sort="false" autoFilter="false"/>
  <autoFilter ref="B6:I504"/>
  <conditionalFormatting sqref="D7:D504">
    <cfRule type="expression" priority="2" aboveAverage="0" equalAverage="0" bottom="0" percent="0" rank="0" text="" dxfId="11">
      <formula>D7="Unknown SKU"</formula>
    </cfRule>
  </conditionalFormatting>
  <dataValidations count="2">
    <dataValidation allowBlank="true" errorStyle="stop" operator="between" showDropDown="false" showErrorMessage="false" showInputMessage="false" sqref="C7:C504" type="list">
      <formula1>Products!$B$7:$B$104</formula1>
      <formula2>0</formula2>
    </dataValidation>
    <dataValidation allowBlank="true" errorStyle="stop" operator="between" showDropDown="false" showErrorMessage="false" showInputMessage="false" sqref="F7:F504" type="list">
      <formula1>Settings!$G$7:$G$12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11"/>
    <col collapsed="false" customWidth="true" hidden="false" outlineLevel="0" max="4" min="4" style="0" width="22"/>
    <col collapsed="false" customWidth="true" hidden="false" outlineLevel="0" max="5" min="5" style="0" width="8"/>
    <col collapsed="false" customWidth="true" hidden="false" outlineLevel="0" max="6" min="6" style="0" width="22"/>
    <col collapsed="false" customWidth="true" hidden="false" outlineLevel="0" max="7" min="7" style="0" width="14"/>
    <col collapsed="false" customWidth="true" hidden="false" outlineLevel="0" max="9" min="8" style="0" width="13"/>
    <col collapsed="false" customWidth="true" hidden="false" outlineLevel="0" max="10" min="10" style="0" width="10"/>
    <col collapsed="false" customWidth="true" hidden="false" outlineLevel="0" max="11" min="11" style="0" width="12"/>
  </cols>
  <sheetData>
    <row r="1" customFormat="false" ht="21.75" hidden="false" customHeight="true" outlineLevel="0" collapsed="false">
      <c r="A1" s="1"/>
      <c r="B1" s="1"/>
      <c r="C1" s="1"/>
      <c r="D1" s="1"/>
      <c r="E1" s="1"/>
      <c r="F1" s="1"/>
      <c r="G1" s="1"/>
      <c r="H1" s="1"/>
      <c r="I1" s="1"/>
      <c r="J1" s="1"/>
      <c r="K1" s="1"/>
      <c r="L1" s="1"/>
    </row>
    <row r="2" customFormat="false" ht="21.75" hidden="false" customHeight="true" outlineLevel="0" collapsed="false">
      <c r="A2" s="1"/>
      <c r="B2" s="2" t="s">
        <v>107</v>
      </c>
      <c r="C2" s="1"/>
      <c r="D2" s="1"/>
      <c r="E2" s="1"/>
      <c r="F2" s="1"/>
      <c r="G2" s="1"/>
      <c r="H2" s="1"/>
      <c r="I2" s="1"/>
      <c r="J2" s="1"/>
      <c r="K2" s="1"/>
      <c r="L2" s="1"/>
    </row>
    <row r="3" customFormat="false" ht="39.75" hidden="false" customHeight="true" outlineLevel="0" collapsed="false">
      <c r="A3" s="1"/>
      <c r="B3" s="3" t="s">
        <v>108</v>
      </c>
      <c r="C3" s="1"/>
      <c r="D3" s="1"/>
      <c r="E3" s="1"/>
      <c r="F3" s="1"/>
      <c r="G3" s="1"/>
      <c r="H3" s="1"/>
      <c r="I3" s="1"/>
      <c r="J3" s="1"/>
      <c r="K3" s="1"/>
      <c r="L3" s="1"/>
    </row>
    <row r="4" customFormat="false" ht="21.75" hidden="false" customHeight="true" outlineLevel="0" collapsed="false">
      <c r="A4" s="1"/>
      <c r="B4" s="4" t="s">
        <v>109</v>
      </c>
      <c r="C4" s="1"/>
      <c r="D4" s="1"/>
      <c r="E4" s="1"/>
      <c r="F4" s="1"/>
      <c r="G4" s="1"/>
      <c r="H4" s="1"/>
      <c r="I4" s="1"/>
      <c r="J4" s="1"/>
      <c r="K4" s="1"/>
      <c r="L4" s="1"/>
    </row>
    <row r="5" customFormat="false" ht="21.75" hidden="false" customHeight="true" outlineLevel="0" collapsed="false">
      <c r="A5" s="1"/>
      <c r="B5" s="1"/>
      <c r="C5" s="1"/>
      <c r="D5" s="1"/>
      <c r="E5" s="1"/>
      <c r="F5" s="1"/>
      <c r="G5" s="1"/>
      <c r="H5" s="1"/>
      <c r="I5" s="1"/>
      <c r="J5" s="1"/>
      <c r="K5" s="1"/>
      <c r="L5" s="1"/>
    </row>
    <row r="6" customFormat="false" ht="33.75" hidden="false" customHeight="true" outlineLevel="0" collapsed="false">
      <c r="A6" s="1"/>
      <c r="B6" s="30" t="s">
        <v>110</v>
      </c>
      <c r="C6" s="30" t="s">
        <v>67</v>
      </c>
      <c r="D6" s="30" t="s">
        <v>68</v>
      </c>
      <c r="E6" s="30" t="s">
        <v>104</v>
      </c>
      <c r="F6" s="30" t="s">
        <v>111</v>
      </c>
      <c r="G6" s="30" t="s">
        <v>112</v>
      </c>
      <c r="H6" s="30" t="s">
        <v>113</v>
      </c>
      <c r="I6" s="30" t="s">
        <v>114</v>
      </c>
      <c r="J6" s="30" t="s">
        <v>115</v>
      </c>
      <c r="K6" s="30" t="s">
        <v>82</v>
      </c>
      <c r="L6" s="1"/>
    </row>
    <row r="7" customFormat="false" ht="21.75" hidden="false" customHeight="true" outlineLevel="0" collapsed="false">
      <c r="A7" s="1"/>
      <c r="B7" s="31" t="s">
        <v>116</v>
      </c>
      <c r="C7" s="31" t="s">
        <v>84</v>
      </c>
      <c r="D7" s="35" t="str">
        <f aca="false">IF(C7="","",IFERROR(INDEX(Products!$C$7:$C$104,MATCH(C7,Products!$B$7:$B$104,0)),"Unknown SKU"))</f>
        <v>Fig candle</v>
      </c>
      <c r="E7" s="31" t="n">
        <v>12</v>
      </c>
      <c r="F7" s="31" t="s">
        <v>117</v>
      </c>
      <c r="G7" s="31" t="s">
        <v>60</v>
      </c>
      <c r="H7" s="38" t="n">
        <f aca="false">Settings!$C$9-25</f>
        <v>46286</v>
      </c>
      <c r="I7" s="38" t="n">
        <f aca="false">Settings!$C$9-18</f>
        <v>46293</v>
      </c>
      <c r="J7" s="36" t="str">
        <f aca="false">IF(OR(C7="",I7="",G7="Done"),"",I7-Settings!$C$9)</f>
        <v/>
      </c>
      <c r="K7" s="35" t="str">
        <f aca="false">IF(C7="","",IF(G7="Done","Done",IF(I7="","No due date",IF(I7&lt;Settings!$C$9,"Late",IF(I7-Settings!$C$9&lt;=Settings!$C$12,"Due soon","On track")))))</f>
        <v>Done</v>
      </c>
      <c r="L7" s="1"/>
    </row>
    <row r="8" customFormat="false" ht="21.75" hidden="false" customHeight="true" outlineLevel="0" collapsed="false">
      <c r="A8" s="1"/>
      <c r="B8" s="31" t="s">
        <v>118</v>
      </c>
      <c r="C8" s="31" t="s">
        <v>97</v>
      </c>
      <c r="D8" s="35" t="str">
        <f aca="false">IF(C8="","",IFERROR(INDEX(Products!$C$7:$C$104,MATCH(C8,Products!$B$7:$B$104,0)),"Unknown SKU"))</f>
        <v>Art print A3</v>
      </c>
      <c r="E8" s="31" t="n">
        <v>20</v>
      </c>
      <c r="F8" s="31" t="s">
        <v>117</v>
      </c>
      <c r="G8" s="31" t="s">
        <v>60</v>
      </c>
      <c r="H8" s="38" t="n">
        <f aca="false">Settings!$C$9-20</f>
        <v>46291</v>
      </c>
      <c r="I8" s="38" t="n">
        <f aca="false">Settings!$C$9-15</f>
        <v>46296</v>
      </c>
      <c r="J8" s="36" t="str">
        <f aca="false">IF(OR(C8="",I8="",G8="Done"),"",I8-Settings!$C$9)</f>
        <v/>
      </c>
      <c r="K8" s="35" t="str">
        <f aca="false">IF(C8="","",IF(G8="Done","Done",IF(I8="","No due date",IF(I8&lt;Settings!$C$9,"Late",IF(I8-Settings!$C$9&lt;=Settings!$C$12,"Due soon","On track")))))</f>
        <v>Done</v>
      </c>
      <c r="L8" s="1"/>
    </row>
    <row r="9" customFormat="false" ht="21.75" hidden="false" customHeight="true" outlineLevel="0" collapsed="false">
      <c r="A9" s="1"/>
      <c r="B9" s="31" t="s">
        <v>119</v>
      </c>
      <c r="C9" s="31" t="s">
        <v>92</v>
      </c>
      <c r="D9" s="35" t="str">
        <f aca="false">IF(C9="","",IFERROR(INDEX(Products!$C$7:$C$104,MATCH(C9,Products!$B$7:$B$104,0)),"Unknown SKU"))</f>
        <v>Serving bowl</v>
      </c>
      <c r="E9" s="31" t="n">
        <v>2</v>
      </c>
      <c r="F9" s="31" t="s">
        <v>120</v>
      </c>
      <c r="G9" s="31" t="s">
        <v>51</v>
      </c>
      <c r="H9" s="38" t="n">
        <f aca="false">Settings!$C$9-8</f>
        <v>46303</v>
      </c>
      <c r="I9" s="38" t="n">
        <f aca="false">Settings!$C$9+2</f>
        <v>46313</v>
      </c>
      <c r="J9" s="36" t="n">
        <f aca="false">IF(OR(C9="",I9="",G9="Done"),"",I9-Settings!$C$9)</f>
        <v>2</v>
      </c>
      <c r="K9" s="35" t="str">
        <f aca="false">IF(C9="","",IF(G9="Done","Done",IF(I9="","No due date",IF(I9&lt;Settings!$C$9,"Late",IF(I9-Settings!$C$9&lt;=Settings!$C$12,"Due soon","On track")))))</f>
        <v>Due soon</v>
      </c>
      <c r="L9" s="1"/>
    </row>
    <row r="10" customFormat="false" ht="21.75" hidden="false" customHeight="true" outlineLevel="0" collapsed="false">
      <c r="A10" s="1"/>
      <c r="B10" s="31" t="s">
        <v>121</v>
      </c>
      <c r="C10" s="31" t="s">
        <v>87</v>
      </c>
      <c r="D10" s="35" t="str">
        <f aca="false">IF(C10="","",IFERROR(INDEX(Products!$C$7:$C$104,MATCH(C10,Products!$B$7:$B$104,0)),"Unknown SKU"))</f>
        <v>Cedar candle</v>
      </c>
      <c r="E10" s="31" t="n">
        <v>10</v>
      </c>
      <c r="F10" s="31" t="s">
        <v>117</v>
      </c>
      <c r="G10" s="31" t="s">
        <v>48</v>
      </c>
      <c r="H10" s="38" t="n">
        <f aca="false">Settings!$C$9-2</f>
        <v>46309</v>
      </c>
      <c r="I10" s="38" t="n">
        <f aca="false">Settings!$C$9+6</f>
        <v>46317</v>
      </c>
      <c r="J10" s="36" t="n">
        <f aca="false">IF(OR(C10="",I10="",G10="Done"),"",I10-Settings!$C$9)</f>
        <v>6</v>
      </c>
      <c r="K10" s="35" t="str">
        <f aca="false">IF(C10="","",IF(G10="Done","Done",IF(I10="","No due date",IF(I10&lt;Settings!$C$9,"Late",IF(I10-Settings!$C$9&lt;=Settings!$C$12,"Due soon","On track")))))</f>
        <v>On track</v>
      </c>
      <c r="L10" s="1"/>
    </row>
    <row r="11" customFormat="false" ht="21.75" hidden="false" customHeight="true" outlineLevel="0" collapsed="false">
      <c r="A11" s="1"/>
      <c r="B11" s="31" t="s">
        <v>122</v>
      </c>
      <c r="C11" s="31" t="s">
        <v>94</v>
      </c>
      <c r="D11" s="35" t="str">
        <f aca="false">IF(C11="","",IFERROR(INDEX(Products!$C$7:$C$104,MATCH(C11,Products!$B$7:$B$104,0)),"Unknown SKU"))</f>
        <v>Linen tote</v>
      </c>
      <c r="E11" s="31" t="n">
        <v>8</v>
      </c>
      <c r="F11" s="31" t="s">
        <v>123</v>
      </c>
      <c r="G11" s="31" t="s">
        <v>54</v>
      </c>
      <c r="H11" s="38" t="n">
        <f aca="false">Settings!$C$9-12</f>
        <v>46299</v>
      </c>
      <c r="I11" s="38" t="n">
        <f aca="false">Settings!$C$9-1</f>
        <v>46310</v>
      </c>
      <c r="J11" s="36" t="n">
        <f aca="false">IF(OR(C11="",I11="",G11="Done"),"",I11-Settings!$C$9)</f>
        <v>-1</v>
      </c>
      <c r="K11" s="35" t="str">
        <f aca="false">IF(C11="","",IF(G11="Done","Done",IF(I11="","No due date",IF(I11&lt;Settings!$C$9,"Late",IF(I11-Settings!$C$9&lt;=Settings!$C$12,"Due soon","On track")))))</f>
        <v>Late</v>
      </c>
      <c r="L11" s="1"/>
    </row>
    <row r="12" customFormat="false" ht="21.75" hidden="false" customHeight="true" outlineLevel="0" collapsed="false">
      <c r="A12" s="1"/>
      <c r="B12" s="31"/>
      <c r="C12" s="31"/>
      <c r="D12" s="35" t="str">
        <f aca="false">IF(C12="","",IFERROR(INDEX(Products!$C$7:$C$104,MATCH(C12,Products!$B$7:$B$104,0)),"Unknown SKU"))</f>
        <v/>
      </c>
      <c r="E12" s="31"/>
      <c r="F12" s="31"/>
      <c r="G12" s="31"/>
      <c r="H12" s="38"/>
      <c r="I12" s="38"/>
      <c r="J12" s="36" t="str">
        <f aca="false">IF(OR(C12="",I12="",G12="Done"),"",I12-Settings!$C$9)</f>
        <v/>
      </c>
      <c r="K12" s="35" t="str">
        <f aca="false">IF(C12="","",IF(G12="Done","Done",IF(I12="","No due date",IF(I12&lt;Settings!$C$9,"Late",IF(I12-Settings!$C$9&lt;=Settings!$C$12,"Due soon","On track")))))</f>
        <v/>
      </c>
      <c r="L12" s="1"/>
    </row>
    <row r="13" customFormat="false" ht="21.75" hidden="false" customHeight="true" outlineLevel="0" collapsed="false">
      <c r="A13" s="1"/>
      <c r="B13" s="31"/>
      <c r="C13" s="31"/>
      <c r="D13" s="35" t="str">
        <f aca="false">IF(C13="","",IFERROR(INDEX(Products!$C$7:$C$104,MATCH(C13,Products!$B$7:$B$104,0)),"Unknown SKU"))</f>
        <v/>
      </c>
      <c r="E13" s="31"/>
      <c r="F13" s="31"/>
      <c r="G13" s="31"/>
      <c r="H13" s="38"/>
      <c r="I13" s="38"/>
      <c r="J13" s="36" t="str">
        <f aca="false">IF(OR(C13="",I13="",G13="Done"),"",I13-Settings!$C$9)</f>
        <v/>
      </c>
      <c r="K13" s="35" t="str">
        <f aca="false">IF(C13="","",IF(G13="Done","Done",IF(I13="","No due date",IF(I13&lt;Settings!$C$9,"Late",IF(I13-Settings!$C$9&lt;=Settings!$C$12,"Due soon","On track")))))</f>
        <v/>
      </c>
      <c r="L13" s="1"/>
    </row>
    <row r="14" customFormat="false" ht="21.75" hidden="false" customHeight="true" outlineLevel="0" collapsed="false">
      <c r="A14" s="1"/>
      <c r="B14" s="31"/>
      <c r="C14" s="31"/>
      <c r="D14" s="35" t="str">
        <f aca="false">IF(C14="","",IFERROR(INDEX(Products!$C$7:$C$104,MATCH(C14,Products!$B$7:$B$104,0)),"Unknown SKU"))</f>
        <v/>
      </c>
      <c r="E14" s="31"/>
      <c r="F14" s="31"/>
      <c r="G14" s="31"/>
      <c r="H14" s="38"/>
      <c r="I14" s="38"/>
      <c r="J14" s="36" t="str">
        <f aca="false">IF(OR(C14="",I14="",G14="Done"),"",I14-Settings!$C$9)</f>
        <v/>
      </c>
      <c r="K14" s="35" t="str">
        <f aca="false">IF(C14="","",IF(G14="Done","Done",IF(I14="","No due date",IF(I14&lt;Settings!$C$9,"Late",IF(I14-Settings!$C$9&lt;=Settings!$C$12,"Due soon","On track")))))</f>
        <v/>
      </c>
      <c r="L14" s="1"/>
    </row>
    <row r="15" customFormat="false" ht="21.75" hidden="false" customHeight="true" outlineLevel="0" collapsed="false">
      <c r="A15" s="1"/>
      <c r="B15" s="31"/>
      <c r="C15" s="31"/>
      <c r="D15" s="35" t="str">
        <f aca="false">IF(C15="","",IFERROR(INDEX(Products!$C$7:$C$104,MATCH(C15,Products!$B$7:$B$104,0)),"Unknown SKU"))</f>
        <v/>
      </c>
      <c r="E15" s="31"/>
      <c r="F15" s="31"/>
      <c r="G15" s="31"/>
      <c r="H15" s="38"/>
      <c r="I15" s="38"/>
      <c r="J15" s="36" t="str">
        <f aca="false">IF(OR(C15="",I15="",G15="Done"),"",I15-Settings!$C$9)</f>
        <v/>
      </c>
      <c r="K15" s="35" t="str">
        <f aca="false">IF(C15="","",IF(G15="Done","Done",IF(I15="","No due date",IF(I15&lt;Settings!$C$9,"Late",IF(I15-Settings!$C$9&lt;=Settings!$C$12,"Due soon","On track")))))</f>
        <v/>
      </c>
      <c r="L15" s="1"/>
    </row>
    <row r="16" customFormat="false" ht="21.75" hidden="false" customHeight="true" outlineLevel="0" collapsed="false">
      <c r="A16" s="1"/>
      <c r="B16" s="31"/>
      <c r="C16" s="31"/>
      <c r="D16" s="35" t="str">
        <f aca="false">IF(C16="","",IFERROR(INDEX(Products!$C$7:$C$104,MATCH(C16,Products!$B$7:$B$104,0)),"Unknown SKU"))</f>
        <v/>
      </c>
      <c r="E16" s="31"/>
      <c r="F16" s="31"/>
      <c r="G16" s="31"/>
      <c r="H16" s="38"/>
      <c r="I16" s="38"/>
      <c r="J16" s="36" t="str">
        <f aca="false">IF(OR(C16="",I16="",G16="Done"),"",I16-Settings!$C$9)</f>
        <v/>
      </c>
      <c r="K16" s="35" t="str">
        <f aca="false">IF(C16="","",IF(G16="Done","Done",IF(I16="","No due date",IF(I16&lt;Settings!$C$9,"Late",IF(I16-Settings!$C$9&lt;=Settings!$C$12,"Due soon","On track")))))</f>
        <v/>
      </c>
      <c r="L16" s="1"/>
    </row>
    <row r="17" customFormat="false" ht="21.75" hidden="false" customHeight="true" outlineLevel="0" collapsed="false">
      <c r="A17" s="1"/>
      <c r="B17" s="31"/>
      <c r="C17" s="31"/>
      <c r="D17" s="35" t="str">
        <f aca="false">IF(C17="","",IFERROR(INDEX(Products!$C$7:$C$104,MATCH(C17,Products!$B$7:$B$104,0)),"Unknown SKU"))</f>
        <v/>
      </c>
      <c r="E17" s="31"/>
      <c r="F17" s="31"/>
      <c r="G17" s="31"/>
      <c r="H17" s="38"/>
      <c r="I17" s="38"/>
      <c r="J17" s="36" t="str">
        <f aca="false">IF(OR(C17="",I17="",G17="Done"),"",I17-Settings!$C$9)</f>
        <v/>
      </c>
      <c r="K17" s="35" t="str">
        <f aca="false">IF(C17="","",IF(G17="Done","Done",IF(I17="","No due date",IF(I17&lt;Settings!$C$9,"Late",IF(I17-Settings!$C$9&lt;=Settings!$C$12,"Due soon","On track")))))</f>
        <v/>
      </c>
      <c r="L17" s="1"/>
    </row>
    <row r="18" customFormat="false" ht="21.75" hidden="false" customHeight="true" outlineLevel="0" collapsed="false">
      <c r="A18" s="1"/>
      <c r="B18" s="31"/>
      <c r="C18" s="31"/>
      <c r="D18" s="35" t="str">
        <f aca="false">IF(C18="","",IFERROR(INDEX(Products!$C$7:$C$104,MATCH(C18,Products!$B$7:$B$104,0)),"Unknown SKU"))</f>
        <v/>
      </c>
      <c r="E18" s="31"/>
      <c r="F18" s="31"/>
      <c r="G18" s="31"/>
      <c r="H18" s="38"/>
      <c r="I18" s="38"/>
      <c r="J18" s="36" t="str">
        <f aca="false">IF(OR(C18="",I18="",G18="Done"),"",I18-Settings!$C$9)</f>
        <v/>
      </c>
      <c r="K18" s="35" t="str">
        <f aca="false">IF(C18="","",IF(G18="Done","Done",IF(I18="","No due date",IF(I18&lt;Settings!$C$9,"Late",IF(I18-Settings!$C$9&lt;=Settings!$C$12,"Due soon","On track")))))</f>
        <v/>
      </c>
      <c r="L18" s="1"/>
    </row>
    <row r="19" customFormat="false" ht="21.75" hidden="false" customHeight="true" outlineLevel="0" collapsed="false">
      <c r="A19" s="1"/>
      <c r="B19" s="31"/>
      <c r="C19" s="31"/>
      <c r="D19" s="35" t="str">
        <f aca="false">IF(C19="","",IFERROR(INDEX(Products!$C$7:$C$104,MATCH(C19,Products!$B$7:$B$104,0)),"Unknown SKU"))</f>
        <v/>
      </c>
      <c r="E19" s="31"/>
      <c r="F19" s="31"/>
      <c r="G19" s="31"/>
      <c r="H19" s="38"/>
      <c r="I19" s="38"/>
      <c r="J19" s="36" t="str">
        <f aca="false">IF(OR(C19="",I19="",G19="Done"),"",I19-Settings!$C$9)</f>
        <v/>
      </c>
      <c r="K19" s="35" t="str">
        <f aca="false">IF(C19="","",IF(G19="Done","Done",IF(I19="","No due date",IF(I19&lt;Settings!$C$9,"Late",IF(I19-Settings!$C$9&lt;=Settings!$C$12,"Due soon","On track")))))</f>
        <v/>
      </c>
      <c r="L19" s="1"/>
    </row>
    <row r="20" customFormat="false" ht="21.75" hidden="false" customHeight="true" outlineLevel="0" collapsed="false">
      <c r="A20" s="1"/>
      <c r="B20" s="31"/>
      <c r="C20" s="31"/>
      <c r="D20" s="35" t="str">
        <f aca="false">IF(C20="","",IFERROR(INDEX(Products!$C$7:$C$104,MATCH(C20,Products!$B$7:$B$104,0)),"Unknown SKU"))</f>
        <v/>
      </c>
      <c r="E20" s="31"/>
      <c r="F20" s="31"/>
      <c r="G20" s="31"/>
      <c r="H20" s="38"/>
      <c r="I20" s="38"/>
      <c r="J20" s="36" t="str">
        <f aca="false">IF(OR(C20="",I20="",G20="Done"),"",I20-Settings!$C$9)</f>
        <v/>
      </c>
      <c r="K20" s="35" t="str">
        <f aca="false">IF(C20="","",IF(G20="Done","Done",IF(I20="","No due date",IF(I20&lt;Settings!$C$9,"Late",IF(I20-Settings!$C$9&lt;=Settings!$C$12,"Due soon","On track")))))</f>
        <v/>
      </c>
      <c r="L20" s="1"/>
    </row>
    <row r="21" customFormat="false" ht="21.75" hidden="false" customHeight="true" outlineLevel="0" collapsed="false">
      <c r="A21" s="1"/>
      <c r="B21" s="31"/>
      <c r="C21" s="31"/>
      <c r="D21" s="35" t="str">
        <f aca="false">IF(C21="","",IFERROR(INDEX(Products!$C$7:$C$104,MATCH(C21,Products!$B$7:$B$104,0)),"Unknown SKU"))</f>
        <v/>
      </c>
      <c r="E21" s="31"/>
      <c r="F21" s="31"/>
      <c r="G21" s="31"/>
      <c r="H21" s="38"/>
      <c r="I21" s="38"/>
      <c r="J21" s="36" t="str">
        <f aca="false">IF(OR(C21="",I21="",G21="Done"),"",I21-Settings!$C$9)</f>
        <v/>
      </c>
      <c r="K21" s="35" t="str">
        <f aca="false">IF(C21="","",IF(G21="Done","Done",IF(I21="","No due date",IF(I21&lt;Settings!$C$9,"Late",IF(I21-Settings!$C$9&lt;=Settings!$C$12,"Due soon","On track")))))</f>
        <v/>
      </c>
      <c r="L21" s="1"/>
    </row>
    <row r="22" customFormat="false" ht="21.75" hidden="false" customHeight="true" outlineLevel="0" collapsed="false">
      <c r="A22" s="1"/>
      <c r="B22" s="31"/>
      <c r="C22" s="31"/>
      <c r="D22" s="35" t="str">
        <f aca="false">IF(C22="","",IFERROR(INDEX(Products!$C$7:$C$104,MATCH(C22,Products!$B$7:$B$104,0)),"Unknown SKU"))</f>
        <v/>
      </c>
      <c r="E22" s="31"/>
      <c r="F22" s="31"/>
      <c r="G22" s="31"/>
      <c r="H22" s="38"/>
      <c r="I22" s="38"/>
      <c r="J22" s="36" t="str">
        <f aca="false">IF(OR(C22="",I22="",G22="Done"),"",I22-Settings!$C$9)</f>
        <v/>
      </c>
      <c r="K22" s="35" t="str">
        <f aca="false">IF(C22="","",IF(G22="Done","Done",IF(I22="","No due date",IF(I22&lt;Settings!$C$9,"Late",IF(I22-Settings!$C$9&lt;=Settings!$C$12,"Due soon","On track")))))</f>
        <v/>
      </c>
      <c r="L22" s="1"/>
    </row>
    <row r="23" customFormat="false" ht="21.75" hidden="false" customHeight="true" outlineLevel="0" collapsed="false">
      <c r="A23" s="1"/>
      <c r="B23" s="31"/>
      <c r="C23" s="31"/>
      <c r="D23" s="35" t="str">
        <f aca="false">IF(C23="","",IFERROR(INDEX(Products!$C$7:$C$104,MATCH(C23,Products!$B$7:$B$104,0)),"Unknown SKU"))</f>
        <v/>
      </c>
      <c r="E23" s="31"/>
      <c r="F23" s="31"/>
      <c r="G23" s="31"/>
      <c r="H23" s="38"/>
      <c r="I23" s="38"/>
      <c r="J23" s="36" t="str">
        <f aca="false">IF(OR(C23="",I23="",G23="Done"),"",I23-Settings!$C$9)</f>
        <v/>
      </c>
      <c r="K23" s="35" t="str">
        <f aca="false">IF(C23="","",IF(G23="Done","Done",IF(I23="","No due date",IF(I23&lt;Settings!$C$9,"Late",IF(I23-Settings!$C$9&lt;=Settings!$C$12,"Due soon","On track")))))</f>
        <v/>
      </c>
      <c r="L23" s="1"/>
    </row>
    <row r="24" customFormat="false" ht="21.75" hidden="false" customHeight="true" outlineLevel="0" collapsed="false">
      <c r="A24" s="1"/>
      <c r="B24" s="31"/>
      <c r="C24" s="31"/>
      <c r="D24" s="35" t="str">
        <f aca="false">IF(C24="","",IFERROR(INDEX(Products!$C$7:$C$104,MATCH(C24,Products!$B$7:$B$104,0)),"Unknown SKU"))</f>
        <v/>
      </c>
      <c r="E24" s="31"/>
      <c r="F24" s="31"/>
      <c r="G24" s="31"/>
      <c r="H24" s="38"/>
      <c r="I24" s="38"/>
      <c r="J24" s="36" t="str">
        <f aca="false">IF(OR(C24="",I24="",G24="Done"),"",I24-Settings!$C$9)</f>
        <v/>
      </c>
      <c r="K24" s="35" t="str">
        <f aca="false">IF(C24="","",IF(G24="Done","Done",IF(I24="","No due date",IF(I24&lt;Settings!$C$9,"Late",IF(I24-Settings!$C$9&lt;=Settings!$C$12,"Due soon","On track")))))</f>
        <v/>
      </c>
      <c r="L24" s="1"/>
    </row>
    <row r="25" customFormat="false" ht="21.75" hidden="false" customHeight="true" outlineLevel="0" collapsed="false">
      <c r="A25" s="1"/>
      <c r="B25" s="31"/>
      <c r="C25" s="31"/>
      <c r="D25" s="35" t="str">
        <f aca="false">IF(C25="","",IFERROR(INDEX(Products!$C$7:$C$104,MATCH(C25,Products!$B$7:$B$104,0)),"Unknown SKU"))</f>
        <v/>
      </c>
      <c r="E25" s="31"/>
      <c r="F25" s="31"/>
      <c r="G25" s="31"/>
      <c r="H25" s="38"/>
      <c r="I25" s="38"/>
      <c r="J25" s="36" t="str">
        <f aca="false">IF(OR(C25="",I25="",G25="Done"),"",I25-Settings!$C$9)</f>
        <v/>
      </c>
      <c r="K25" s="35" t="str">
        <f aca="false">IF(C25="","",IF(G25="Done","Done",IF(I25="","No due date",IF(I25&lt;Settings!$C$9,"Late",IF(I25-Settings!$C$9&lt;=Settings!$C$12,"Due soon","On track")))))</f>
        <v/>
      </c>
      <c r="L25" s="1"/>
    </row>
    <row r="26" customFormat="false" ht="21.75" hidden="false" customHeight="true" outlineLevel="0" collapsed="false">
      <c r="A26" s="1"/>
      <c r="B26" s="31"/>
      <c r="C26" s="31"/>
      <c r="D26" s="35" t="str">
        <f aca="false">IF(C26="","",IFERROR(INDEX(Products!$C$7:$C$104,MATCH(C26,Products!$B$7:$B$104,0)),"Unknown SKU"))</f>
        <v/>
      </c>
      <c r="E26" s="31"/>
      <c r="F26" s="31"/>
      <c r="G26" s="31"/>
      <c r="H26" s="38"/>
      <c r="I26" s="38"/>
      <c r="J26" s="36" t="str">
        <f aca="false">IF(OR(C26="",I26="",G26="Done"),"",I26-Settings!$C$9)</f>
        <v/>
      </c>
      <c r="K26" s="35" t="str">
        <f aca="false">IF(C26="","",IF(G26="Done","Done",IF(I26="","No due date",IF(I26&lt;Settings!$C$9,"Late",IF(I26-Settings!$C$9&lt;=Settings!$C$12,"Due soon","On track")))))</f>
        <v/>
      </c>
      <c r="L26" s="1"/>
    </row>
    <row r="27" customFormat="false" ht="21.75" hidden="false" customHeight="true" outlineLevel="0" collapsed="false">
      <c r="A27" s="1"/>
      <c r="B27" s="31"/>
      <c r="C27" s="31"/>
      <c r="D27" s="35" t="str">
        <f aca="false">IF(C27="","",IFERROR(INDEX(Products!$C$7:$C$104,MATCH(C27,Products!$B$7:$B$104,0)),"Unknown SKU"))</f>
        <v/>
      </c>
      <c r="E27" s="31"/>
      <c r="F27" s="31"/>
      <c r="G27" s="31"/>
      <c r="H27" s="38"/>
      <c r="I27" s="38"/>
      <c r="J27" s="36" t="str">
        <f aca="false">IF(OR(C27="",I27="",G27="Done"),"",I27-Settings!$C$9)</f>
        <v/>
      </c>
      <c r="K27" s="35" t="str">
        <f aca="false">IF(C27="","",IF(G27="Done","Done",IF(I27="","No due date",IF(I27&lt;Settings!$C$9,"Late",IF(I27-Settings!$C$9&lt;=Settings!$C$12,"Due soon","On track")))))</f>
        <v/>
      </c>
      <c r="L27" s="1"/>
    </row>
    <row r="28" customFormat="false" ht="21.75" hidden="false" customHeight="true" outlineLevel="0" collapsed="false">
      <c r="A28" s="1"/>
      <c r="B28" s="31"/>
      <c r="C28" s="31"/>
      <c r="D28" s="35" t="str">
        <f aca="false">IF(C28="","",IFERROR(INDEX(Products!$C$7:$C$104,MATCH(C28,Products!$B$7:$B$104,0)),"Unknown SKU"))</f>
        <v/>
      </c>
      <c r="E28" s="31"/>
      <c r="F28" s="31"/>
      <c r="G28" s="31"/>
      <c r="H28" s="38"/>
      <c r="I28" s="38"/>
      <c r="J28" s="36" t="str">
        <f aca="false">IF(OR(C28="",I28="",G28="Done"),"",I28-Settings!$C$9)</f>
        <v/>
      </c>
      <c r="K28" s="35" t="str">
        <f aca="false">IF(C28="","",IF(G28="Done","Done",IF(I28="","No due date",IF(I28&lt;Settings!$C$9,"Late",IF(I28-Settings!$C$9&lt;=Settings!$C$12,"Due soon","On track")))))</f>
        <v/>
      </c>
      <c r="L28" s="1"/>
    </row>
    <row r="29" customFormat="false" ht="21.75" hidden="false" customHeight="true" outlineLevel="0" collapsed="false">
      <c r="A29" s="1"/>
      <c r="B29" s="31"/>
      <c r="C29" s="31"/>
      <c r="D29" s="35" t="str">
        <f aca="false">IF(C29="","",IFERROR(INDEX(Products!$C$7:$C$104,MATCH(C29,Products!$B$7:$B$104,0)),"Unknown SKU"))</f>
        <v/>
      </c>
      <c r="E29" s="31"/>
      <c r="F29" s="31"/>
      <c r="G29" s="31"/>
      <c r="H29" s="38"/>
      <c r="I29" s="38"/>
      <c r="J29" s="36" t="str">
        <f aca="false">IF(OR(C29="",I29="",G29="Done"),"",I29-Settings!$C$9)</f>
        <v/>
      </c>
      <c r="K29" s="35" t="str">
        <f aca="false">IF(C29="","",IF(G29="Done","Done",IF(I29="","No due date",IF(I29&lt;Settings!$C$9,"Late",IF(I29-Settings!$C$9&lt;=Settings!$C$12,"Due soon","On track")))))</f>
        <v/>
      </c>
      <c r="L29" s="1"/>
    </row>
    <row r="30" customFormat="false" ht="21.75" hidden="false" customHeight="true" outlineLevel="0" collapsed="false">
      <c r="A30" s="1"/>
      <c r="B30" s="31"/>
      <c r="C30" s="31"/>
      <c r="D30" s="35" t="str">
        <f aca="false">IF(C30="","",IFERROR(INDEX(Products!$C$7:$C$104,MATCH(C30,Products!$B$7:$B$104,0)),"Unknown SKU"))</f>
        <v/>
      </c>
      <c r="E30" s="31"/>
      <c r="F30" s="31"/>
      <c r="G30" s="31"/>
      <c r="H30" s="38"/>
      <c r="I30" s="38"/>
      <c r="J30" s="36" t="str">
        <f aca="false">IF(OR(C30="",I30="",G30="Done"),"",I30-Settings!$C$9)</f>
        <v/>
      </c>
      <c r="K30" s="35" t="str">
        <f aca="false">IF(C30="","",IF(G30="Done","Done",IF(I30="","No due date",IF(I30&lt;Settings!$C$9,"Late",IF(I30-Settings!$C$9&lt;=Settings!$C$12,"Due soon","On track")))))</f>
        <v/>
      </c>
      <c r="L30" s="1"/>
    </row>
    <row r="31" customFormat="false" ht="21.75" hidden="false" customHeight="true" outlineLevel="0" collapsed="false">
      <c r="A31" s="1"/>
      <c r="B31" s="31"/>
      <c r="C31" s="31"/>
      <c r="D31" s="35" t="str">
        <f aca="false">IF(C31="","",IFERROR(INDEX(Products!$C$7:$C$104,MATCH(C31,Products!$B$7:$B$104,0)),"Unknown SKU"))</f>
        <v/>
      </c>
      <c r="E31" s="31"/>
      <c r="F31" s="31"/>
      <c r="G31" s="31"/>
      <c r="H31" s="38"/>
      <c r="I31" s="38"/>
      <c r="J31" s="36" t="str">
        <f aca="false">IF(OR(C31="",I31="",G31="Done"),"",I31-Settings!$C$9)</f>
        <v/>
      </c>
      <c r="K31" s="35" t="str">
        <f aca="false">IF(C31="","",IF(G31="Done","Done",IF(I31="","No due date",IF(I31&lt;Settings!$C$9,"Late",IF(I31-Settings!$C$9&lt;=Settings!$C$12,"Due soon","On track")))))</f>
        <v/>
      </c>
      <c r="L31" s="1"/>
    </row>
    <row r="32" customFormat="false" ht="21.75" hidden="false" customHeight="true" outlineLevel="0" collapsed="false">
      <c r="A32" s="1"/>
      <c r="B32" s="31"/>
      <c r="C32" s="31"/>
      <c r="D32" s="35" t="str">
        <f aca="false">IF(C32="","",IFERROR(INDEX(Products!$C$7:$C$104,MATCH(C32,Products!$B$7:$B$104,0)),"Unknown SKU"))</f>
        <v/>
      </c>
      <c r="E32" s="31"/>
      <c r="F32" s="31"/>
      <c r="G32" s="31"/>
      <c r="H32" s="38"/>
      <c r="I32" s="38"/>
      <c r="J32" s="36" t="str">
        <f aca="false">IF(OR(C32="",I32="",G32="Done"),"",I32-Settings!$C$9)</f>
        <v/>
      </c>
      <c r="K32" s="35" t="str">
        <f aca="false">IF(C32="","",IF(G32="Done","Done",IF(I32="","No due date",IF(I32&lt;Settings!$C$9,"Late",IF(I32-Settings!$C$9&lt;=Settings!$C$12,"Due soon","On track")))))</f>
        <v/>
      </c>
      <c r="L32" s="1"/>
    </row>
    <row r="33" customFormat="false" ht="21.75" hidden="false" customHeight="true" outlineLevel="0" collapsed="false">
      <c r="A33" s="1"/>
      <c r="B33" s="31"/>
      <c r="C33" s="31"/>
      <c r="D33" s="35" t="str">
        <f aca="false">IF(C33="","",IFERROR(INDEX(Products!$C$7:$C$104,MATCH(C33,Products!$B$7:$B$104,0)),"Unknown SKU"))</f>
        <v/>
      </c>
      <c r="E33" s="31"/>
      <c r="F33" s="31"/>
      <c r="G33" s="31"/>
      <c r="H33" s="38"/>
      <c r="I33" s="38"/>
      <c r="J33" s="36" t="str">
        <f aca="false">IF(OR(C33="",I33="",G33="Done"),"",I33-Settings!$C$9)</f>
        <v/>
      </c>
      <c r="K33" s="35" t="str">
        <f aca="false">IF(C33="","",IF(G33="Done","Done",IF(I33="","No due date",IF(I33&lt;Settings!$C$9,"Late",IF(I33-Settings!$C$9&lt;=Settings!$C$12,"Due soon","On track")))))</f>
        <v/>
      </c>
      <c r="L33" s="1"/>
    </row>
    <row r="34" customFormat="false" ht="21.75" hidden="false" customHeight="true" outlineLevel="0" collapsed="false">
      <c r="A34" s="1"/>
      <c r="B34" s="31"/>
      <c r="C34" s="31"/>
      <c r="D34" s="35" t="str">
        <f aca="false">IF(C34="","",IFERROR(INDEX(Products!$C$7:$C$104,MATCH(C34,Products!$B$7:$B$104,0)),"Unknown SKU"))</f>
        <v/>
      </c>
      <c r="E34" s="31"/>
      <c r="F34" s="31"/>
      <c r="G34" s="31"/>
      <c r="H34" s="38"/>
      <c r="I34" s="38"/>
      <c r="J34" s="36" t="str">
        <f aca="false">IF(OR(C34="",I34="",G34="Done"),"",I34-Settings!$C$9)</f>
        <v/>
      </c>
      <c r="K34" s="35" t="str">
        <f aca="false">IF(C34="","",IF(G34="Done","Done",IF(I34="","No due date",IF(I34&lt;Settings!$C$9,"Late",IF(I34-Settings!$C$9&lt;=Settings!$C$12,"Due soon","On track")))))</f>
        <v/>
      </c>
      <c r="L34" s="1"/>
    </row>
    <row r="35" customFormat="false" ht="21.75" hidden="false" customHeight="true" outlineLevel="0" collapsed="false">
      <c r="A35" s="1"/>
      <c r="B35" s="31"/>
      <c r="C35" s="31"/>
      <c r="D35" s="35" t="str">
        <f aca="false">IF(C35="","",IFERROR(INDEX(Products!$C$7:$C$104,MATCH(C35,Products!$B$7:$B$104,0)),"Unknown SKU"))</f>
        <v/>
      </c>
      <c r="E35" s="31"/>
      <c r="F35" s="31"/>
      <c r="G35" s="31"/>
      <c r="H35" s="38"/>
      <c r="I35" s="38"/>
      <c r="J35" s="36" t="str">
        <f aca="false">IF(OR(C35="",I35="",G35="Done"),"",I35-Settings!$C$9)</f>
        <v/>
      </c>
      <c r="K35" s="35" t="str">
        <f aca="false">IF(C35="","",IF(G35="Done","Done",IF(I35="","No due date",IF(I35&lt;Settings!$C$9,"Late",IF(I35-Settings!$C$9&lt;=Settings!$C$12,"Due soon","On track")))))</f>
        <v/>
      </c>
      <c r="L35" s="1"/>
    </row>
    <row r="36" customFormat="false" ht="21.75" hidden="false" customHeight="true" outlineLevel="0" collapsed="false">
      <c r="A36" s="1"/>
      <c r="B36" s="31"/>
      <c r="C36" s="31"/>
      <c r="D36" s="35" t="str">
        <f aca="false">IF(C36="","",IFERROR(INDEX(Products!$C$7:$C$104,MATCH(C36,Products!$B$7:$B$104,0)),"Unknown SKU"))</f>
        <v/>
      </c>
      <c r="E36" s="31"/>
      <c r="F36" s="31"/>
      <c r="G36" s="31"/>
      <c r="H36" s="38"/>
      <c r="I36" s="38"/>
      <c r="J36" s="36" t="str">
        <f aca="false">IF(OR(C36="",I36="",G36="Done"),"",I36-Settings!$C$9)</f>
        <v/>
      </c>
      <c r="K36" s="35" t="str">
        <f aca="false">IF(C36="","",IF(G36="Done","Done",IF(I36="","No due date",IF(I36&lt;Settings!$C$9,"Late",IF(I36-Settings!$C$9&lt;=Settings!$C$12,"Due soon","On track")))))</f>
        <v/>
      </c>
      <c r="L36" s="1"/>
    </row>
    <row r="37" customFormat="false" ht="21.75" hidden="false" customHeight="true" outlineLevel="0" collapsed="false">
      <c r="A37" s="1"/>
      <c r="B37" s="31"/>
      <c r="C37" s="31"/>
      <c r="D37" s="35" t="str">
        <f aca="false">IF(C37="","",IFERROR(INDEX(Products!$C$7:$C$104,MATCH(C37,Products!$B$7:$B$104,0)),"Unknown SKU"))</f>
        <v/>
      </c>
      <c r="E37" s="31"/>
      <c r="F37" s="31"/>
      <c r="G37" s="31"/>
      <c r="H37" s="38"/>
      <c r="I37" s="38"/>
      <c r="J37" s="36" t="str">
        <f aca="false">IF(OR(C37="",I37="",G37="Done"),"",I37-Settings!$C$9)</f>
        <v/>
      </c>
      <c r="K37" s="35" t="str">
        <f aca="false">IF(C37="","",IF(G37="Done","Done",IF(I37="","No due date",IF(I37&lt;Settings!$C$9,"Late",IF(I37-Settings!$C$9&lt;=Settings!$C$12,"Due soon","On track")))))</f>
        <v/>
      </c>
      <c r="L37" s="1"/>
    </row>
    <row r="38" customFormat="false" ht="21.75" hidden="false" customHeight="true" outlineLevel="0" collapsed="false">
      <c r="A38" s="1"/>
      <c r="B38" s="31"/>
      <c r="C38" s="31"/>
      <c r="D38" s="35" t="str">
        <f aca="false">IF(C38="","",IFERROR(INDEX(Products!$C$7:$C$104,MATCH(C38,Products!$B$7:$B$104,0)),"Unknown SKU"))</f>
        <v/>
      </c>
      <c r="E38" s="31"/>
      <c r="F38" s="31"/>
      <c r="G38" s="31"/>
      <c r="H38" s="38"/>
      <c r="I38" s="38"/>
      <c r="J38" s="36" t="str">
        <f aca="false">IF(OR(C38="",I38="",G38="Done"),"",I38-Settings!$C$9)</f>
        <v/>
      </c>
      <c r="K38" s="35" t="str">
        <f aca="false">IF(C38="","",IF(G38="Done","Done",IF(I38="","No due date",IF(I38&lt;Settings!$C$9,"Late",IF(I38-Settings!$C$9&lt;=Settings!$C$12,"Due soon","On track")))))</f>
        <v/>
      </c>
      <c r="L38" s="1"/>
    </row>
    <row r="39" customFormat="false" ht="21.75" hidden="false" customHeight="true" outlineLevel="0" collapsed="false">
      <c r="A39" s="1"/>
      <c r="B39" s="31"/>
      <c r="C39" s="31"/>
      <c r="D39" s="35" t="str">
        <f aca="false">IF(C39="","",IFERROR(INDEX(Products!$C$7:$C$104,MATCH(C39,Products!$B$7:$B$104,0)),"Unknown SKU"))</f>
        <v/>
      </c>
      <c r="E39" s="31"/>
      <c r="F39" s="31"/>
      <c r="G39" s="31"/>
      <c r="H39" s="38"/>
      <c r="I39" s="38"/>
      <c r="J39" s="36" t="str">
        <f aca="false">IF(OR(C39="",I39="",G39="Done"),"",I39-Settings!$C$9)</f>
        <v/>
      </c>
      <c r="K39" s="35" t="str">
        <f aca="false">IF(C39="","",IF(G39="Done","Done",IF(I39="","No due date",IF(I39&lt;Settings!$C$9,"Late",IF(I39-Settings!$C$9&lt;=Settings!$C$12,"Due soon","On track")))))</f>
        <v/>
      </c>
      <c r="L39" s="1"/>
    </row>
    <row r="40" customFormat="false" ht="21.75" hidden="false" customHeight="true" outlineLevel="0" collapsed="false">
      <c r="A40" s="1"/>
      <c r="B40" s="31"/>
      <c r="C40" s="31"/>
      <c r="D40" s="35" t="str">
        <f aca="false">IF(C40="","",IFERROR(INDEX(Products!$C$7:$C$104,MATCH(C40,Products!$B$7:$B$104,0)),"Unknown SKU"))</f>
        <v/>
      </c>
      <c r="E40" s="31"/>
      <c r="F40" s="31"/>
      <c r="G40" s="31"/>
      <c r="H40" s="38"/>
      <c r="I40" s="38"/>
      <c r="J40" s="36" t="str">
        <f aca="false">IF(OR(C40="",I40="",G40="Done"),"",I40-Settings!$C$9)</f>
        <v/>
      </c>
      <c r="K40" s="35" t="str">
        <f aca="false">IF(C40="","",IF(G40="Done","Done",IF(I40="","No due date",IF(I40&lt;Settings!$C$9,"Late",IF(I40-Settings!$C$9&lt;=Settings!$C$12,"Due soon","On track")))))</f>
        <v/>
      </c>
      <c r="L40" s="1"/>
    </row>
    <row r="41" customFormat="false" ht="21.75" hidden="false" customHeight="true" outlineLevel="0" collapsed="false">
      <c r="A41" s="1"/>
      <c r="B41" s="31"/>
      <c r="C41" s="31"/>
      <c r="D41" s="35" t="str">
        <f aca="false">IF(C41="","",IFERROR(INDEX(Products!$C$7:$C$104,MATCH(C41,Products!$B$7:$B$104,0)),"Unknown SKU"))</f>
        <v/>
      </c>
      <c r="E41" s="31"/>
      <c r="F41" s="31"/>
      <c r="G41" s="31"/>
      <c r="H41" s="38"/>
      <c r="I41" s="38"/>
      <c r="J41" s="36" t="str">
        <f aca="false">IF(OR(C41="",I41="",G41="Done"),"",I41-Settings!$C$9)</f>
        <v/>
      </c>
      <c r="K41" s="35" t="str">
        <f aca="false">IF(C41="","",IF(G41="Done","Done",IF(I41="","No due date",IF(I41&lt;Settings!$C$9,"Late",IF(I41-Settings!$C$9&lt;=Settings!$C$12,"Due soon","On track")))))</f>
        <v/>
      </c>
      <c r="L41" s="1"/>
    </row>
    <row r="42" customFormat="false" ht="21.75" hidden="false" customHeight="true" outlineLevel="0" collapsed="false">
      <c r="A42" s="1"/>
      <c r="B42" s="31"/>
      <c r="C42" s="31"/>
      <c r="D42" s="35" t="str">
        <f aca="false">IF(C42="","",IFERROR(INDEX(Products!$C$7:$C$104,MATCH(C42,Products!$B$7:$B$104,0)),"Unknown SKU"))</f>
        <v/>
      </c>
      <c r="E42" s="31"/>
      <c r="F42" s="31"/>
      <c r="G42" s="31"/>
      <c r="H42" s="38"/>
      <c r="I42" s="38"/>
      <c r="J42" s="36" t="str">
        <f aca="false">IF(OR(C42="",I42="",G42="Done"),"",I42-Settings!$C$9)</f>
        <v/>
      </c>
      <c r="K42" s="35" t="str">
        <f aca="false">IF(C42="","",IF(G42="Done","Done",IF(I42="","No due date",IF(I42&lt;Settings!$C$9,"Late",IF(I42-Settings!$C$9&lt;=Settings!$C$12,"Due soon","On track")))))</f>
        <v/>
      </c>
      <c r="L42" s="1"/>
    </row>
    <row r="43" customFormat="false" ht="21.75" hidden="false" customHeight="true" outlineLevel="0" collapsed="false">
      <c r="A43" s="1"/>
      <c r="B43" s="31"/>
      <c r="C43" s="31"/>
      <c r="D43" s="35" t="str">
        <f aca="false">IF(C43="","",IFERROR(INDEX(Products!$C$7:$C$104,MATCH(C43,Products!$B$7:$B$104,0)),"Unknown SKU"))</f>
        <v/>
      </c>
      <c r="E43" s="31"/>
      <c r="F43" s="31"/>
      <c r="G43" s="31"/>
      <c r="H43" s="38"/>
      <c r="I43" s="38"/>
      <c r="J43" s="36" t="str">
        <f aca="false">IF(OR(C43="",I43="",G43="Done"),"",I43-Settings!$C$9)</f>
        <v/>
      </c>
      <c r="K43" s="35" t="str">
        <f aca="false">IF(C43="","",IF(G43="Done","Done",IF(I43="","No due date",IF(I43&lt;Settings!$C$9,"Late",IF(I43-Settings!$C$9&lt;=Settings!$C$12,"Due soon","On track")))))</f>
        <v/>
      </c>
      <c r="L43" s="1"/>
    </row>
    <row r="44" customFormat="false" ht="21.75" hidden="false" customHeight="true" outlineLevel="0" collapsed="false">
      <c r="A44" s="1"/>
      <c r="B44" s="31"/>
      <c r="C44" s="31"/>
      <c r="D44" s="35" t="str">
        <f aca="false">IF(C44="","",IFERROR(INDEX(Products!$C$7:$C$104,MATCH(C44,Products!$B$7:$B$104,0)),"Unknown SKU"))</f>
        <v/>
      </c>
      <c r="E44" s="31"/>
      <c r="F44" s="31"/>
      <c r="G44" s="31"/>
      <c r="H44" s="38"/>
      <c r="I44" s="38"/>
      <c r="J44" s="36" t="str">
        <f aca="false">IF(OR(C44="",I44="",G44="Done"),"",I44-Settings!$C$9)</f>
        <v/>
      </c>
      <c r="K44" s="35" t="str">
        <f aca="false">IF(C44="","",IF(G44="Done","Done",IF(I44="","No due date",IF(I44&lt;Settings!$C$9,"Late",IF(I44-Settings!$C$9&lt;=Settings!$C$12,"Due soon","On track")))))</f>
        <v/>
      </c>
      <c r="L44" s="1"/>
    </row>
    <row r="45" customFormat="false" ht="21.75" hidden="false" customHeight="true" outlineLevel="0" collapsed="false">
      <c r="A45" s="1"/>
      <c r="B45" s="31"/>
      <c r="C45" s="31"/>
      <c r="D45" s="35" t="str">
        <f aca="false">IF(C45="","",IFERROR(INDEX(Products!$C$7:$C$104,MATCH(C45,Products!$B$7:$B$104,0)),"Unknown SKU"))</f>
        <v/>
      </c>
      <c r="E45" s="31"/>
      <c r="F45" s="31"/>
      <c r="G45" s="31"/>
      <c r="H45" s="38"/>
      <c r="I45" s="38"/>
      <c r="J45" s="36" t="str">
        <f aca="false">IF(OR(C45="",I45="",G45="Done"),"",I45-Settings!$C$9)</f>
        <v/>
      </c>
      <c r="K45" s="35" t="str">
        <f aca="false">IF(C45="","",IF(G45="Done","Done",IF(I45="","No due date",IF(I45&lt;Settings!$C$9,"Late",IF(I45-Settings!$C$9&lt;=Settings!$C$12,"Due soon","On track")))))</f>
        <v/>
      </c>
      <c r="L45" s="1"/>
    </row>
    <row r="46" customFormat="false" ht="21.75" hidden="false" customHeight="true" outlineLevel="0" collapsed="false">
      <c r="A46" s="1"/>
      <c r="B46" s="31"/>
      <c r="C46" s="31"/>
      <c r="D46" s="35" t="str">
        <f aca="false">IF(C46="","",IFERROR(INDEX(Products!$C$7:$C$104,MATCH(C46,Products!$B$7:$B$104,0)),"Unknown SKU"))</f>
        <v/>
      </c>
      <c r="E46" s="31"/>
      <c r="F46" s="31"/>
      <c r="G46" s="31"/>
      <c r="H46" s="38"/>
      <c r="I46" s="38"/>
      <c r="J46" s="36" t="str">
        <f aca="false">IF(OR(C46="",I46="",G46="Done"),"",I46-Settings!$C$9)</f>
        <v/>
      </c>
      <c r="K46" s="35" t="str">
        <f aca="false">IF(C46="","",IF(G46="Done","Done",IF(I46="","No due date",IF(I46&lt;Settings!$C$9,"Late",IF(I46-Settings!$C$9&lt;=Settings!$C$12,"Due soon","On track")))))</f>
        <v/>
      </c>
      <c r="L46" s="1"/>
    </row>
    <row r="47" customFormat="false" ht="21.75" hidden="false" customHeight="true" outlineLevel="0" collapsed="false">
      <c r="A47" s="1"/>
      <c r="B47" s="31"/>
      <c r="C47" s="31"/>
      <c r="D47" s="35" t="str">
        <f aca="false">IF(C47="","",IFERROR(INDEX(Products!$C$7:$C$104,MATCH(C47,Products!$B$7:$B$104,0)),"Unknown SKU"))</f>
        <v/>
      </c>
      <c r="E47" s="31"/>
      <c r="F47" s="31"/>
      <c r="G47" s="31"/>
      <c r="H47" s="38"/>
      <c r="I47" s="38"/>
      <c r="J47" s="36" t="str">
        <f aca="false">IF(OR(C47="",I47="",G47="Done"),"",I47-Settings!$C$9)</f>
        <v/>
      </c>
      <c r="K47" s="35" t="str">
        <f aca="false">IF(C47="","",IF(G47="Done","Done",IF(I47="","No due date",IF(I47&lt;Settings!$C$9,"Late",IF(I47-Settings!$C$9&lt;=Settings!$C$12,"Due soon","On track")))))</f>
        <v/>
      </c>
      <c r="L47" s="1"/>
    </row>
    <row r="48" customFormat="false" ht="21.75" hidden="false" customHeight="true" outlineLevel="0" collapsed="false">
      <c r="A48" s="1"/>
      <c r="B48" s="31"/>
      <c r="C48" s="31"/>
      <c r="D48" s="35" t="str">
        <f aca="false">IF(C48="","",IFERROR(INDEX(Products!$C$7:$C$104,MATCH(C48,Products!$B$7:$B$104,0)),"Unknown SKU"))</f>
        <v/>
      </c>
      <c r="E48" s="31"/>
      <c r="F48" s="31"/>
      <c r="G48" s="31"/>
      <c r="H48" s="38"/>
      <c r="I48" s="38"/>
      <c r="J48" s="36" t="str">
        <f aca="false">IF(OR(C48="",I48="",G48="Done"),"",I48-Settings!$C$9)</f>
        <v/>
      </c>
      <c r="K48" s="35" t="str">
        <f aca="false">IF(C48="","",IF(G48="Done","Done",IF(I48="","No due date",IF(I48&lt;Settings!$C$9,"Late",IF(I48-Settings!$C$9&lt;=Settings!$C$12,"Due soon","On track")))))</f>
        <v/>
      </c>
      <c r="L48" s="1"/>
    </row>
    <row r="49" customFormat="false" ht="21.75" hidden="false" customHeight="true" outlineLevel="0" collapsed="false">
      <c r="A49" s="1"/>
      <c r="B49" s="31"/>
      <c r="C49" s="31"/>
      <c r="D49" s="35" t="str">
        <f aca="false">IF(C49="","",IFERROR(INDEX(Products!$C$7:$C$104,MATCH(C49,Products!$B$7:$B$104,0)),"Unknown SKU"))</f>
        <v/>
      </c>
      <c r="E49" s="31"/>
      <c r="F49" s="31"/>
      <c r="G49" s="31"/>
      <c r="H49" s="38"/>
      <c r="I49" s="38"/>
      <c r="J49" s="36" t="str">
        <f aca="false">IF(OR(C49="",I49="",G49="Done"),"",I49-Settings!$C$9)</f>
        <v/>
      </c>
      <c r="K49" s="35" t="str">
        <f aca="false">IF(C49="","",IF(G49="Done","Done",IF(I49="","No due date",IF(I49&lt;Settings!$C$9,"Late",IF(I49-Settings!$C$9&lt;=Settings!$C$12,"Due soon","On track")))))</f>
        <v/>
      </c>
      <c r="L49" s="1"/>
    </row>
    <row r="50" customFormat="false" ht="21.75" hidden="false" customHeight="true" outlineLevel="0" collapsed="false">
      <c r="A50" s="1"/>
      <c r="B50" s="31"/>
      <c r="C50" s="31"/>
      <c r="D50" s="35" t="str">
        <f aca="false">IF(C50="","",IFERROR(INDEX(Products!$C$7:$C$104,MATCH(C50,Products!$B$7:$B$104,0)),"Unknown SKU"))</f>
        <v/>
      </c>
      <c r="E50" s="31"/>
      <c r="F50" s="31"/>
      <c r="G50" s="31"/>
      <c r="H50" s="38"/>
      <c r="I50" s="38"/>
      <c r="J50" s="36" t="str">
        <f aca="false">IF(OR(C50="",I50="",G50="Done"),"",I50-Settings!$C$9)</f>
        <v/>
      </c>
      <c r="K50" s="35" t="str">
        <f aca="false">IF(C50="","",IF(G50="Done","Done",IF(I50="","No due date",IF(I50&lt;Settings!$C$9,"Late",IF(I50-Settings!$C$9&lt;=Settings!$C$12,"Due soon","On track")))))</f>
        <v/>
      </c>
      <c r="L50" s="1"/>
    </row>
    <row r="51" customFormat="false" ht="21.75" hidden="false" customHeight="true" outlineLevel="0" collapsed="false">
      <c r="A51" s="1"/>
      <c r="B51" s="31"/>
      <c r="C51" s="31"/>
      <c r="D51" s="35" t="str">
        <f aca="false">IF(C51="","",IFERROR(INDEX(Products!$C$7:$C$104,MATCH(C51,Products!$B$7:$B$104,0)),"Unknown SKU"))</f>
        <v/>
      </c>
      <c r="E51" s="31"/>
      <c r="F51" s="31"/>
      <c r="G51" s="31"/>
      <c r="H51" s="38"/>
      <c r="I51" s="38"/>
      <c r="J51" s="36" t="str">
        <f aca="false">IF(OR(C51="",I51="",G51="Done"),"",I51-Settings!$C$9)</f>
        <v/>
      </c>
      <c r="K51" s="35" t="str">
        <f aca="false">IF(C51="","",IF(G51="Done","Done",IF(I51="","No due date",IF(I51&lt;Settings!$C$9,"Late",IF(I51-Settings!$C$9&lt;=Settings!$C$12,"Due soon","On track")))))</f>
        <v/>
      </c>
      <c r="L51" s="1"/>
    </row>
    <row r="52" customFormat="false" ht="21.75" hidden="false" customHeight="true" outlineLevel="0" collapsed="false">
      <c r="A52" s="1"/>
      <c r="B52" s="31"/>
      <c r="C52" s="31"/>
      <c r="D52" s="35" t="str">
        <f aca="false">IF(C52="","",IFERROR(INDEX(Products!$C$7:$C$104,MATCH(C52,Products!$B$7:$B$104,0)),"Unknown SKU"))</f>
        <v/>
      </c>
      <c r="E52" s="31"/>
      <c r="F52" s="31"/>
      <c r="G52" s="31"/>
      <c r="H52" s="38"/>
      <c r="I52" s="38"/>
      <c r="J52" s="36" t="str">
        <f aca="false">IF(OR(C52="",I52="",G52="Done"),"",I52-Settings!$C$9)</f>
        <v/>
      </c>
      <c r="K52" s="35" t="str">
        <f aca="false">IF(C52="","",IF(G52="Done","Done",IF(I52="","No due date",IF(I52&lt;Settings!$C$9,"Late",IF(I52-Settings!$C$9&lt;=Settings!$C$12,"Due soon","On track")))))</f>
        <v/>
      </c>
      <c r="L52" s="1"/>
    </row>
    <row r="53" customFormat="false" ht="21.75" hidden="false" customHeight="true" outlineLevel="0" collapsed="false">
      <c r="A53" s="1"/>
      <c r="B53" s="31"/>
      <c r="C53" s="31"/>
      <c r="D53" s="35" t="str">
        <f aca="false">IF(C53="","",IFERROR(INDEX(Products!$C$7:$C$104,MATCH(C53,Products!$B$7:$B$104,0)),"Unknown SKU"))</f>
        <v/>
      </c>
      <c r="E53" s="31"/>
      <c r="F53" s="31"/>
      <c r="G53" s="31"/>
      <c r="H53" s="38"/>
      <c r="I53" s="38"/>
      <c r="J53" s="36" t="str">
        <f aca="false">IF(OR(C53="",I53="",G53="Done"),"",I53-Settings!$C$9)</f>
        <v/>
      </c>
      <c r="K53" s="35" t="str">
        <f aca="false">IF(C53="","",IF(G53="Done","Done",IF(I53="","No due date",IF(I53&lt;Settings!$C$9,"Late",IF(I53-Settings!$C$9&lt;=Settings!$C$12,"Due soon","On track")))))</f>
        <v/>
      </c>
      <c r="L53" s="1"/>
    </row>
    <row r="54" customFormat="false" ht="21.75" hidden="false" customHeight="true" outlineLevel="0" collapsed="false">
      <c r="A54" s="1"/>
      <c r="B54" s="31"/>
      <c r="C54" s="31"/>
      <c r="D54" s="35" t="str">
        <f aca="false">IF(C54="","",IFERROR(INDEX(Products!$C$7:$C$104,MATCH(C54,Products!$B$7:$B$104,0)),"Unknown SKU"))</f>
        <v/>
      </c>
      <c r="E54" s="31"/>
      <c r="F54" s="31"/>
      <c r="G54" s="31"/>
      <c r="H54" s="38"/>
      <c r="I54" s="38"/>
      <c r="J54" s="36" t="str">
        <f aca="false">IF(OR(C54="",I54="",G54="Done"),"",I54-Settings!$C$9)</f>
        <v/>
      </c>
      <c r="K54" s="35" t="str">
        <f aca="false">IF(C54="","",IF(G54="Done","Done",IF(I54="","No due date",IF(I54&lt;Settings!$C$9,"Late",IF(I54-Settings!$C$9&lt;=Settings!$C$12,"Due soon","On track")))))</f>
        <v/>
      </c>
      <c r="L54" s="1"/>
    </row>
    <row r="55" customFormat="false" ht="21.75" hidden="false" customHeight="true" outlineLevel="0" collapsed="false">
      <c r="A55" s="1"/>
      <c r="B55" s="31"/>
      <c r="C55" s="31"/>
      <c r="D55" s="35" t="str">
        <f aca="false">IF(C55="","",IFERROR(INDEX(Products!$C$7:$C$104,MATCH(C55,Products!$B$7:$B$104,0)),"Unknown SKU"))</f>
        <v/>
      </c>
      <c r="E55" s="31"/>
      <c r="F55" s="31"/>
      <c r="G55" s="31"/>
      <c r="H55" s="38"/>
      <c r="I55" s="38"/>
      <c r="J55" s="36" t="str">
        <f aca="false">IF(OR(C55="",I55="",G55="Done"),"",I55-Settings!$C$9)</f>
        <v/>
      </c>
      <c r="K55" s="35" t="str">
        <f aca="false">IF(C55="","",IF(G55="Done","Done",IF(I55="","No due date",IF(I55&lt;Settings!$C$9,"Late",IF(I55-Settings!$C$9&lt;=Settings!$C$12,"Due soon","On track")))))</f>
        <v/>
      </c>
      <c r="L55" s="1"/>
    </row>
    <row r="56" customFormat="false" ht="21.75" hidden="false" customHeight="true" outlineLevel="0" collapsed="false">
      <c r="A56" s="1"/>
      <c r="B56" s="31"/>
      <c r="C56" s="31"/>
      <c r="D56" s="35" t="str">
        <f aca="false">IF(C56="","",IFERROR(INDEX(Products!$C$7:$C$104,MATCH(C56,Products!$B$7:$B$104,0)),"Unknown SKU"))</f>
        <v/>
      </c>
      <c r="E56" s="31"/>
      <c r="F56" s="31"/>
      <c r="G56" s="31"/>
      <c r="H56" s="38"/>
      <c r="I56" s="38"/>
      <c r="J56" s="36" t="str">
        <f aca="false">IF(OR(C56="",I56="",G56="Done"),"",I56-Settings!$C$9)</f>
        <v/>
      </c>
      <c r="K56" s="35" t="str">
        <f aca="false">IF(C56="","",IF(G56="Done","Done",IF(I56="","No due date",IF(I56&lt;Settings!$C$9,"Late",IF(I56-Settings!$C$9&lt;=Settings!$C$12,"Due soon","On track")))))</f>
        <v/>
      </c>
      <c r="L56" s="1"/>
    </row>
    <row r="57" customFormat="false" ht="21.75" hidden="false" customHeight="true" outlineLevel="0" collapsed="false">
      <c r="A57" s="1"/>
      <c r="B57" s="31"/>
      <c r="C57" s="31"/>
      <c r="D57" s="35" t="str">
        <f aca="false">IF(C57="","",IFERROR(INDEX(Products!$C$7:$C$104,MATCH(C57,Products!$B$7:$B$104,0)),"Unknown SKU"))</f>
        <v/>
      </c>
      <c r="E57" s="31"/>
      <c r="F57" s="31"/>
      <c r="G57" s="31"/>
      <c r="H57" s="38"/>
      <c r="I57" s="38"/>
      <c r="J57" s="36" t="str">
        <f aca="false">IF(OR(C57="",I57="",G57="Done"),"",I57-Settings!$C$9)</f>
        <v/>
      </c>
      <c r="K57" s="35" t="str">
        <f aca="false">IF(C57="","",IF(G57="Done","Done",IF(I57="","No due date",IF(I57&lt;Settings!$C$9,"Late",IF(I57-Settings!$C$9&lt;=Settings!$C$12,"Due soon","On track")))))</f>
        <v/>
      </c>
      <c r="L57" s="1"/>
    </row>
    <row r="58" customFormat="false" ht="21.75" hidden="false" customHeight="true" outlineLevel="0" collapsed="false">
      <c r="A58" s="1"/>
      <c r="B58" s="31"/>
      <c r="C58" s="31"/>
      <c r="D58" s="35" t="str">
        <f aca="false">IF(C58="","",IFERROR(INDEX(Products!$C$7:$C$104,MATCH(C58,Products!$B$7:$B$104,0)),"Unknown SKU"))</f>
        <v/>
      </c>
      <c r="E58" s="31"/>
      <c r="F58" s="31"/>
      <c r="G58" s="31"/>
      <c r="H58" s="38"/>
      <c r="I58" s="38"/>
      <c r="J58" s="36" t="str">
        <f aca="false">IF(OR(C58="",I58="",G58="Done"),"",I58-Settings!$C$9)</f>
        <v/>
      </c>
      <c r="K58" s="35" t="str">
        <f aca="false">IF(C58="","",IF(G58="Done","Done",IF(I58="","No due date",IF(I58&lt;Settings!$C$9,"Late",IF(I58-Settings!$C$9&lt;=Settings!$C$12,"Due soon","On track")))))</f>
        <v/>
      </c>
      <c r="L58" s="1"/>
    </row>
    <row r="59" customFormat="false" ht="21.75" hidden="false" customHeight="true" outlineLevel="0" collapsed="false">
      <c r="A59" s="1"/>
      <c r="B59" s="31"/>
      <c r="C59" s="31"/>
      <c r="D59" s="35" t="str">
        <f aca="false">IF(C59="","",IFERROR(INDEX(Products!$C$7:$C$104,MATCH(C59,Products!$B$7:$B$104,0)),"Unknown SKU"))</f>
        <v/>
      </c>
      <c r="E59" s="31"/>
      <c r="F59" s="31"/>
      <c r="G59" s="31"/>
      <c r="H59" s="38"/>
      <c r="I59" s="38"/>
      <c r="J59" s="36" t="str">
        <f aca="false">IF(OR(C59="",I59="",G59="Done"),"",I59-Settings!$C$9)</f>
        <v/>
      </c>
      <c r="K59" s="35" t="str">
        <f aca="false">IF(C59="","",IF(G59="Done","Done",IF(I59="","No due date",IF(I59&lt;Settings!$C$9,"Late",IF(I59-Settings!$C$9&lt;=Settings!$C$12,"Due soon","On track")))))</f>
        <v/>
      </c>
      <c r="L59" s="1"/>
    </row>
    <row r="60" customFormat="false" ht="21.75" hidden="false" customHeight="true" outlineLevel="0" collapsed="false">
      <c r="A60" s="1"/>
      <c r="B60" s="31"/>
      <c r="C60" s="31"/>
      <c r="D60" s="35" t="str">
        <f aca="false">IF(C60="","",IFERROR(INDEX(Products!$C$7:$C$104,MATCH(C60,Products!$B$7:$B$104,0)),"Unknown SKU"))</f>
        <v/>
      </c>
      <c r="E60" s="31"/>
      <c r="F60" s="31"/>
      <c r="G60" s="31"/>
      <c r="H60" s="38"/>
      <c r="I60" s="38"/>
      <c r="J60" s="36" t="str">
        <f aca="false">IF(OR(C60="",I60="",G60="Done"),"",I60-Settings!$C$9)</f>
        <v/>
      </c>
      <c r="K60" s="35" t="str">
        <f aca="false">IF(C60="","",IF(G60="Done","Done",IF(I60="","No due date",IF(I60&lt;Settings!$C$9,"Late",IF(I60-Settings!$C$9&lt;=Settings!$C$12,"Due soon","On track")))))</f>
        <v/>
      </c>
      <c r="L60" s="1"/>
    </row>
    <row r="61" customFormat="false" ht="21.75" hidden="false" customHeight="true" outlineLevel="0" collapsed="false">
      <c r="A61" s="1"/>
      <c r="B61" s="31"/>
      <c r="C61" s="31"/>
      <c r="D61" s="35" t="str">
        <f aca="false">IF(C61="","",IFERROR(INDEX(Products!$C$7:$C$104,MATCH(C61,Products!$B$7:$B$104,0)),"Unknown SKU"))</f>
        <v/>
      </c>
      <c r="E61" s="31"/>
      <c r="F61" s="31"/>
      <c r="G61" s="31"/>
      <c r="H61" s="38"/>
      <c r="I61" s="38"/>
      <c r="J61" s="36" t="str">
        <f aca="false">IF(OR(C61="",I61="",G61="Done"),"",I61-Settings!$C$9)</f>
        <v/>
      </c>
      <c r="K61" s="35" t="str">
        <f aca="false">IF(C61="","",IF(G61="Done","Done",IF(I61="","No due date",IF(I61&lt;Settings!$C$9,"Late",IF(I61-Settings!$C$9&lt;=Settings!$C$12,"Due soon","On track")))))</f>
        <v/>
      </c>
      <c r="L61" s="1"/>
    </row>
    <row r="62" customFormat="false" ht="21.75" hidden="false" customHeight="true" outlineLevel="0" collapsed="false">
      <c r="A62" s="1"/>
      <c r="B62" s="31"/>
      <c r="C62" s="31"/>
      <c r="D62" s="35" t="str">
        <f aca="false">IF(C62="","",IFERROR(INDEX(Products!$C$7:$C$104,MATCH(C62,Products!$B$7:$B$104,0)),"Unknown SKU"))</f>
        <v/>
      </c>
      <c r="E62" s="31"/>
      <c r="F62" s="31"/>
      <c r="G62" s="31"/>
      <c r="H62" s="38"/>
      <c r="I62" s="38"/>
      <c r="J62" s="36" t="str">
        <f aca="false">IF(OR(C62="",I62="",G62="Done"),"",I62-Settings!$C$9)</f>
        <v/>
      </c>
      <c r="K62" s="35" t="str">
        <f aca="false">IF(C62="","",IF(G62="Done","Done",IF(I62="","No due date",IF(I62&lt;Settings!$C$9,"Late",IF(I62-Settings!$C$9&lt;=Settings!$C$12,"Due soon","On track")))))</f>
        <v/>
      </c>
      <c r="L62" s="1"/>
    </row>
    <row r="63" customFormat="false" ht="21.75" hidden="false" customHeight="true" outlineLevel="0" collapsed="false">
      <c r="A63" s="1"/>
      <c r="B63" s="31"/>
      <c r="C63" s="31"/>
      <c r="D63" s="35" t="str">
        <f aca="false">IF(C63="","",IFERROR(INDEX(Products!$C$7:$C$104,MATCH(C63,Products!$B$7:$B$104,0)),"Unknown SKU"))</f>
        <v/>
      </c>
      <c r="E63" s="31"/>
      <c r="F63" s="31"/>
      <c r="G63" s="31"/>
      <c r="H63" s="38"/>
      <c r="I63" s="38"/>
      <c r="J63" s="36" t="str">
        <f aca="false">IF(OR(C63="",I63="",G63="Done"),"",I63-Settings!$C$9)</f>
        <v/>
      </c>
      <c r="K63" s="35" t="str">
        <f aca="false">IF(C63="","",IF(G63="Done","Done",IF(I63="","No due date",IF(I63&lt;Settings!$C$9,"Late",IF(I63-Settings!$C$9&lt;=Settings!$C$12,"Due soon","On track")))))</f>
        <v/>
      </c>
      <c r="L63" s="1"/>
    </row>
    <row r="64" customFormat="false" ht="21.75" hidden="false" customHeight="true" outlineLevel="0" collapsed="false">
      <c r="A64" s="1"/>
      <c r="B64" s="31"/>
      <c r="C64" s="31"/>
      <c r="D64" s="35" t="str">
        <f aca="false">IF(C64="","",IFERROR(INDEX(Products!$C$7:$C$104,MATCH(C64,Products!$B$7:$B$104,0)),"Unknown SKU"))</f>
        <v/>
      </c>
      <c r="E64" s="31"/>
      <c r="F64" s="31"/>
      <c r="G64" s="31"/>
      <c r="H64" s="38"/>
      <c r="I64" s="38"/>
      <c r="J64" s="36" t="str">
        <f aca="false">IF(OR(C64="",I64="",G64="Done"),"",I64-Settings!$C$9)</f>
        <v/>
      </c>
      <c r="K64" s="35" t="str">
        <f aca="false">IF(C64="","",IF(G64="Done","Done",IF(I64="","No due date",IF(I64&lt;Settings!$C$9,"Late",IF(I64-Settings!$C$9&lt;=Settings!$C$12,"Due soon","On track")))))</f>
        <v/>
      </c>
      <c r="L64" s="1"/>
    </row>
    <row r="65" customFormat="false" ht="21.75" hidden="false" customHeight="true" outlineLevel="0" collapsed="false">
      <c r="A65" s="1"/>
      <c r="B65" s="31"/>
      <c r="C65" s="31"/>
      <c r="D65" s="35" t="str">
        <f aca="false">IF(C65="","",IFERROR(INDEX(Products!$C$7:$C$104,MATCH(C65,Products!$B$7:$B$104,0)),"Unknown SKU"))</f>
        <v/>
      </c>
      <c r="E65" s="31"/>
      <c r="F65" s="31"/>
      <c r="G65" s="31"/>
      <c r="H65" s="38"/>
      <c r="I65" s="38"/>
      <c r="J65" s="36" t="str">
        <f aca="false">IF(OR(C65="",I65="",G65="Done"),"",I65-Settings!$C$9)</f>
        <v/>
      </c>
      <c r="K65" s="35" t="str">
        <f aca="false">IF(C65="","",IF(G65="Done","Done",IF(I65="","No due date",IF(I65&lt;Settings!$C$9,"Late",IF(I65-Settings!$C$9&lt;=Settings!$C$12,"Due soon","On track")))))</f>
        <v/>
      </c>
      <c r="L65" s="1"/>
    </row>
    <row r="66" customFormat="false" ht="21.75" hidden="false" customHeight="true" outlineLevel="0" collapsed="false">
      <c r="A66" s="1"/>
      <c r="B66" s="31"/>
      <c r="C66" s="31"/>
      <c r="D66" s="35" t="str">
        <f aca="false">IF(C66="","",IFERROR(INDEX(Products!$C$7:$C$104,MATCH(C66,Products!$B$7:$B$104,0)),"Unknown SKU"))</f>
        <v/>
      </c>
      <c r="E66" s="31"/>
      <c r="F66" s="31"/>
      <c r="G66" s="31"/>
      <c r="H66" s="38"/>
      <c r="I66" s="38"/>
      <c r="J66" s="36" t="str">
        <f aca="false">IF(OR(C66="",I66="",G66="Done"),"",I66-Settings!$C$9)</f>
        <v/>
      </c>
      <c r="K66" s="35" t="str">
        <f aca="false">IF(C66="","",IF(G66="Done","Done",IF(I66="","No due date",IF(I66&lt;Settings!$C$9,"Late",IF(I66-Settings!$C$9&lt;=Settings!$C$12,"Due soon","On track")))))</f>
        <v/>
      </c>
      <c r="L66" s="1"/>
    </row>
    <row r="67" customFormat="false" ht="21.75" hidden="false" customHeight="true" outlineLevel="0" collapsed="false">
      <c r="A67" s="1"/>
      <c r="B67" s="31"/>
      <c r="C67" s="31"/>
      <c r="D67" s="35" t="str">
        <f aca="false">IF(C67="","",IFERROR(INDEX(Products!$C$7:$C$104,MATCH(C67,Products!$B$7:$B$104,0)),"Unknown SKU"))</f>
        <v/>
      </c>
      <c r="E67" s="31"/>
      <c r="F67" s="31"/>
      <c r="G67" s="31"/>
      <c r="H67" s="38"/>
      <c r="I67" s="38"/>
      <c r="J67" s="36" t="str">
        <f aca="false">IF(OR(C67="",I67="",G67="Done"),"",I67-Settings!$C$9)</f>
        <v/>
      </c>
      <c r="K67" s="35" t="str">
        <f aca="false">IF(C67="","",IF(G67="Done","Done",IF(I67="","No due date",IF(I67&lt;Settings!$C$9,"Late",IF(I67-Settings!$C$9&lt;=Settings!$C$12,"Due soon","On track")))))</f>
        <v/>
      </c>
      <c r="L67" s="1"/>
    </row>
    <row r="68" customFormat="false" ht="21.75" hidden="false" customHeight="true" outlineLevel="0" collapsed="false">
      <c r="A68" s="1"/>
      <c r="B68" s="31"/>
      <c r="C68" s="31"/>
      <c r="D68" s="35" t="str">
        <f aca="false">IF(C68="","",IFERROR(INDEX(Products!$C$7:$C$104,MATCH(C68,Products!$B$7:$B$104,0)),"Unknown SKU"))</f>
        <v/>
      </c>
      <c r="E68" s="31"/>
      <c r="F68" s="31"/>
      <c r="G68" s="31"/>
      <c r="H68" s="38"/>
      <c r="I68" s="38"/>
      <c r="J68" s="36" t="str">
        <f aca="false">IF(OR(C68="",I68="",G68="Done"),"",I68-Settings!$C$9)</f>
        <v/>
      </c>
      <c r="K68" s="35" t="str">
        <f aca="false">IF(C68="","",IF(G68="Done","Done",IF(I68="","No due date",IF(I68&lt;Settings!$C$9,"Late",IF(I68-Settings!$C$9&lt;=Settings!$C$12,"Due soon","On track")))))</f>
        <v/>
      </c>
      <c r="L68" s="1"/>
    </row>
    <row r="69" customFormat="false" ht="21.75" hidden="false" customHeight="true" outlineLevel="0" collapsed="false">
      <c r="A69" s="1"/>
      <c r="B69" s="31"/>
      <c r="C69" s="31"/>
      <c r="D69" s="35" t="str">
        <f aca="false">IF(C69="","",IFERROR(INDEX(Products!$C$7:$C$104,MATCH(C69,Products!$B$7:$B$104,0)),"Unknown SKU"))</f>
        <v/>
      </c>
      <c r="E69" s="31"/>
      <c r="F69" s="31"/>
      <c r="G69" s="31"/>
      <c r="H69" s="38"/>
      <c r="I69" s="38"/>
      <c r="J69" s="36" t="str">
        <f aca="false">IF(OR(C69="",I69="",G69="Done"),"",I69-Settings!$C$9)</f>
        <v/>
      </c>
      <c r="K69" s="35" t="str">
        <f aca="false">IF(C69="","",IF(G69="Done","Done",IF(I69="","No due date",IF(I69&lt;Settings!$C$9,"Late",IF(I69-Settings!$C$9&lt;=Settings!$C$12,"Due soon","On track")))))</f>
        <v/>
      </c>
      <c r="L69" s="1"/>
    </row>
    <row r="70" customFormat="false" ht="21.75" hidden="false" customHeight="true" outlineLevel="0" collapsed="false">
      <c r="A70" s="1"/>
      <c r="B70" s="31"/>
      <c r="C70" s="31"/>
      <c r="D70" s="35" t="str">
        <f aca="false">IF(C70="","",IFERROR(INDEX(Products!$C$7:$C$104,MATCH(C70,Products!$B$7:$B$104,0)),"Unknown SKU"))</f>
        <v/>
      </c>
      <c r="E70" s="31"/>
      <c r="F70" s="31"/>
      <c r="G70" s="31"/>
      <c r="H70" s="38"/>
      <c r="I70" s="38"/>
      <c r="J70" s="36" t="str">
        <f aca="false">IF(OR(C70="",I70="",G70="Done"),"",I70-Settings!$C$9)</f>
        <v/>
      </c>
      <c r="K70" s="35" t="str">
        <f aca="false">IF(C70="","",IF(G70="Done","Done",IF(I70="","No due date",IF(I70&lt;Settings!$C$9,"Late",IF(I70-Settings!$C$9&lt;=Settings!$C$12,"Due soon","On track")))))</f>
        <v/>
      </c>
      <c r="L70" s="1"/>
    </row>
    <row r="71" customFormat="false" ht="21.75" hidden="false" customHeight="true" outlineLevel="0" collapsed="false">
      <c r="A71" s="1"/>
      <c r="B71" s="31"/>
      <c r="C71" s="31"/>
      <c r="D71" s="35" t="str">
        <f aca="false">IF(C71="","",IFERROR(INDEX(Products!$C$7:$C$104,MATCH(C71,Products!$B$7:$B$104,0)),"Unknown SKU"))</f>
        <v/>
      </c>
      <c r="E71" s="31"/>
      <c r="F71" s="31"/>
      <c r="G71" s="31"/>
      <c r="H71" s="38"/>
      <c r="I71" s="38"/>
      <c r="J71" s="36" t="str">
        <f aca="false">IF(OR(C71="",I71="",G71="Done"),"",I71-Settings!$C$9)</f>
        <v/>
      </c>
      <c r="K71" s="35" t="str">
        <f aca="false">IF(C71="","",IF(G71="Done","Done",IF(I71="","No due date",IF(I71&lt;Settings!$C$9,"Late",IF(I71-Settings!$C$9&lt;=Settings!$C$12,"Due soon","On track")))))</f>
        <v/>
      </c>
      <c r="L71" s="1"/>
    </row>
    <row r="72" customFormat="false" ht="21.75" hidden="false" customHeight="true" outlineLevel="0" collapsed="false">
      <c r="A72" s="1"/>
      <c r="B72" s="31"/>
      <c r="C72" s="31"/>
      <c r="D72" s="35" t="str">
        <f aca="false">IF(C72="","",IFERROR(INDEX(Products!$C$7:$C$104,MATCH(C72,Products!$B$7:$B$104,0)),"Unknown SKU"))</f>
        <v/>
      </c>
      <c r="E72" s="31"/>
      <c r="F72" s="31"/>
      <c r="G72" s="31"/>
      <c r="H72" s="38"/>
      <c r="I72" s="38"/>
      <c r="J72" s="36" t="str">
        <f aca="false">IF(OR(C72="",I72="",G72="Done"),"",I72-Settings!$C$9)</f>
        <v/>
      </c>
      <c r="K72" s="35" t="str">
        <f aca="false">IF(C72="","",IF(G72="Done","Done",IF(I72="","No due date",IF(I72&lt;Settings!$C$9,"Late",IF(I72-Settings!$C$9&lt;=Settings!$C$12,"Due soon","On track")))))</f>
        <v/>
      </c>
      <c r="L72" s="1"/>
    </row>
    <row r="73" customFormat="false" ht="21.75" hidden="false" customHeight="true" outlineLevel="0" collapsed="false">
      <c r="A73" s="1"/>
      <c r="B73" s="31"/>
      <c r="C73" s="31"/>
      <c r="D73" s="35" t="str">
        <f aca="false">IF(C73="","",IFERROR(INDEX(Products!$C$7:$C$104,MATCH(C73,Products!$B$7:$B$104,0)),"Unknown SKU"))</f>
        <v/>
      </c>
      <c r="E73" s="31"/>
      <c r="F73" s="31"/>
      <c r="G73" s="31"/>
      <c r="H73" s="38"/>
      <c r="I73" s="38"/>
      <c r="J73" s="36" t="str">
        <f aca="false">IF(OR(C73="",I73="",G73="Done"),"",I73-Settings!$C$9)</f>
        <v/>
      </c>
      <c r="K73" s="35" t="str">
        <f aca="false">IF(C73="","",IF(G73="Done","Done",IF(I73="","No due date",IF(I73&lt;Settings!$C$9,"Late",IF(I73-Settings!$C$9&lt;=Settings!$C$12,"Due soon","On track")))))</f>
        <v/>
      </c>
      <c r="L73" s="1"/>
    </row>
    <row r="74" customFormat="false" ht="21.75" hidden="false" customHeight="true" outlineLevel="0" collapsed="false">
      <c r="A74" s="1"/>
      <c r="B74" s="31"/>
      <c r="C74" s="31"/>
      <c r="D74" s="35" t="str">
        <f aca="false">IF(C74="","",IFERROR(INDEX(Products!$C$7:$C$104,MATCH(C74,Products!$B$7:$B$104,0)),"Unknown SKU"))</f>
        <v/>
      </c>
      <c r="E74" s="31"/>
      <c r="F74" s="31"/>
      <c r="G74" s="31"/>
      <c r="H74" s="38"/>
      <c r="I74" s="38"/>
      <c r="J74" s="36" t="str">
        <f aca="false">IF(OR(C74="",I74="",G74="Done"),"",I74-Settings!$C$9)</f>
        <v/>
      </c>
      <c r="K74" s="35" t="str">
        <f aca="false">IF(C74="","",IF(G74="Done","Done",IF(I74="","No due date",IF(I74&lt;Settings!$C$9,"Late",IF(I74-Settings!$C$9&lt;=Settings!$C$12,"Due soon","On track")))))</f>
        <v/>
      </c>
      <c r="L74" s="1"/>
    </row>
    <row r="75" customFormat="false" ht="21.75" hidden="false" customHeight="true" outlineLevel="0" collapsed="false">
      <c r="A75" s="1"/>
      <c r="B75" s="31"/>
      <c r="C75" s="31"/>
      <c r="D75" s="35" t="str">
        <f aca="false">IF(C75="","",IFERROR(INDEX(Products!$C$7:$C$104,MATCH(C75,Products!$B$7:$B$104,0)),"Unknown SKU"))</f>
        <v/>
      </c>
      <c r="E75" s="31"/>
      <c r="F75" s="31"/>
      <c r="G75" s="31"/>
      <c r="H75" s="38"/>
      <c r="I75" s="38"/>
      <c r="J75" s="36" t="str">
        <f aca="false">IF(OR(C75="",I75="",G75="Done"),"",I75-Settings!$C$9)</f>
        <v/>
      </c>
      <c r="K75" s="35" t="str">
        <f aca="false">IF(C75="","",IF(G75="Done","Done",IF(I75="","No due date",IF(I75&lt;Settings!$C$9,"Late",IF(I75-Settings!$C$9&lt;=Settings!$C$12,"Due soon","On track")))))</f>
        <v/>
      </c>
      <c r="L75" s="1"/>
    </row>
    <row r="76" customFormat="false" ht="21.75" hidden="false" customHeight="true" outlineLevel="0" collapsed="false">
      <c r="A76" s="1"/>
      <c r="B76" s="31"/>
      <c r="C76" s="31"/>
      <c r="D76" s="35" t="str">
        <f aca="false">IF(C76="","",IFERROR(INDEX(Products!$C$7:$C$104,MATCH(C76,Products!$B$7:$B$104,0)),"Unknown SKU"))</f>
        <v/>
      </c>
      <c r="E76" s="31"/>
      <c r="F76" s="31"/>
      <c r="G76" s="31"/>
      <c r="H76" s="38"/>
      <c r="I76" s="38"/>
      <c r="J76" s="36" t="str">
        <f aca="false">IF(OR(C76="",I76="",G76="Done"),"",I76-Settings!$C$9)</f>
        <v/>
      </c>
      <c r="K76" s="35" t="str">
        <f aca="false">IF(C76="","",IF(G76="Done","Done",IF(I76="","No due date",IF(I76&lt;Settings!$C$9,"Late",IF(I76-Settings!$C$9&lt;=Settings!$C$12,"Due soon","On track")))))</f>
        <v/>
      </c>
      <c r="L76" s="1"/>
    </row>
    <row r="77" customFormat="false" ht="21.75" hidden="false" customHeight="true" outlineLevel="0" collapsed="false">
      <c r="A77" s="1"/>
      <c r="B77" s="31"/>
      <c r="C77" s="31"/>
      <c r="D77" s="35" t="str">
        <f aca="false">IF(C77="","",IFERROR(INDEX(Products!$C$7:$C$104,MATCH(C77,Products!$B$7:$B$104,0)),"Unknown SKU"))</f>
        <v/>
      </c>
      <c r="E77" s="31"/>
      <c r="F77" s="31"/>
      <c r="G77" s="31"/>
      <c r="H77" s="38"/>
      <c r="I77" s="38"/>
      <c r="J77" s="36" t="str">
        <f aca="false">IF(OR(C77="",I77="",G77="Done"),"",I77-Settings!$C$9)</f>
        <v/>
      </c>
      <c r="K77" s="35" t="str">
        <f aca="false">IF(C77="","",IF(G77="Done","Done",IF(I77="","No due date",IF(I77&lt;Settings!$C$9,"Late",IF(I77-Settings!$C$9&lt;=Settings!$C$12,"Due soon","On track")))))</f>
        <v/>
      </c>
      <c r="L77" s="1"/>
    </row>
    <row r="78" customFormat="false" ht="21.75" hidden="false" customHeight="true" outlineLevel="0" collapsed="false">
      <c r="A78" s="1"/>
      <c r="B78" s="31"/>
      <c r="C78" s="31"/>
      <c r="D78" s="35" t="str">
        <f aca="false">IF(C78="","",IFERROR(INDEX(Products!$C$7:$C$104,MATCH(C78,Products!$B$7:$B$104,0)),"Unknown SKU"))</f>
        <v/>
      </c>
      <c r="E78" s="31"/>
      <c r="F78" s="31"/>
      <c r="G78" s="31"/>
      <c r="H78" s="38"/>
      <c r="I78" s="38"/>
      <c r="J78" s="36" t="str">
        <f aca="false">IF(OR(C78="",I78="",G78="Done"),"",I78-Settings!$C$9)</f>
        <v/>
      </c>
      <c r="K78" s="35" t="str">
        <f aca="false">IF(C78="","",IF(G78="Done","Done",IF(I78="","No due date",IF(I78&lt;Settings!$C$9,"Late",IF(I78-Settings!$C$9&lt;=Settings!$C$12,"Due soon","On track")))))</f>
        <v/>
      </c>
      <c r="L78" s="1"/>
    </row>
    <row r="79" customFormat="false" ht="21.75" hidden="false" customHeight="true" outlineLevel="0" collapsed="false">
      <c r="A79" s="1"/>
      <c r="B79" s="31"/>
      <c r="C79" s="31"/>
      <c r="D79" s="35" t="str">
        <f aca="false">IF(C79="","",IFERROR(INDEX(Products!$C$7:$C$104,MATCH(C79,Products!$B$7:$B$104,0)),"Unknown SKU"))</f>
        <v/>
      </c>
      <c r="E79" s="31"/>
      <c r="F79" s="31"/>
      <c r="G79" s="31"/>
      <c r="H79" s="38"/>
      <c r="I79" s="38"/>
      <c r="J79" s="36" t="str">
        <f aca="false">IF(OR(C79="",I79="",G79="Done"),"",I79-Settings!$C$9)</f>
        <v/>
      </c>
      <c r="K79" s="35" t="str">
        <f aca="false">IF(C79="","",IF(G79="Done","Done",IF(I79="","No due date",IF(I79&lt;Settings!$C$9,"Late",IF(I79-Settings!$C$9&lt;=Settings!$C$12,"Due soon","On track")))))</f>
        <v/>
      </c>
      <c r="L79" s="1"/>
    </row>
    <row r="80" customFormat="false" ht="21.75" hidden="false" customHeight="true" outlineLevel="0" collapsed="false">
      <c r="A80" s="1"/>
      <c r="B80" s="31"/>
      <c r="C80" s="31"/>
      <c r="D80" s="35" t="str">
        <f aca="false">IF(C80="","",IFERROR(INDEX(Products!$C$7:$C$104,MATCH(C80,Products!$B$7:$B$104,0)),"Unknown SKU"))</f>
        <v/>
      </c>
      <c r="E80" s="31"/>
      <c r="F80" s="31"/>
      <c r="G80" s="31"/>
      <c r="H80" s="38"/>
      <c r="I80" s="38"/>
      <c r="J80" s="36" t="str">
        <f aca="false">IF(OR(C80="",I80="",G80="Done"),"",I80-Settings!$C$9)</f>
        <v/>
      </c>
      <c r="K80" s="35" t="str">
        <f aca="false">IF(C80="","",IF(G80="Done","Done",IF(I80="","No due date",IF(I80&lt;Settings!$C$9,"Late",IF(I80-Settings!$C$9&lt;=Settings!$C$12,"Due soon","On track")))))</f>
        <v/>
      </c>
      <c r="L80" s="1"/>
    </row>
    <row r="81" customFormat="false" ht="21.75" hidden="false" customHeight="true" outlineLevel="0" collapsed="false">
      <c r="A81" s="1"/>
      <c r="B81" s="31"/>
      <c r="C81" s="31"/>
      <c r="D81" s="35" t="str">
        <f aca="false">IF(C81="","",IFERROR(INDEX(Products!$C$7:$C$104,MATCH(C81,Products!$B$7:$B$104,0)),"Unknown SKU"))</f>
        <v/>
      </c>
      <c r="E81" s="31"/>
      <c r="F81" s="31"/>
      <c r="G81" s="31"/>
      <c r="H81" s="38"/>
      <c r="I81" s="38"/>
      <c r="J81" s="36" t="str">
        <f aca="false">IF(OR(C81="",I81="",G81="Done"),"",I81-Settings!$C$9)</f>
        <v/>
      </c>
      <c r="K81" s="35" t="str">
        <f aca="false">IF(C81="","",IF(G81="Done","Done",IF(I81="","No due date",IF(I81&lt;Settings!$C$9,"Late",IF(I81-Settings!$C$9&lt;=Settings!$C$12,"Due soon","On track")))))</f>
        <v/>
      </c>
      <c r="L81" s="1"/>
    </row>
    <row r="82" customFormat="false" ht="21.75" hidden="false" customHeight="true" outlineLevel="0" collapsed="false">
      <c r="A82" s="1"/>
      <c r="B82" s="31"/>
      <c r="C82" s="31"/>
      <c r="D82" s="35" t="str">
        <f aca="false">IF(C82="","",IFERROR(INDEX(Products!$C$7:$C$104,MATCH(C82,Products!$B$7:$B$104,0)),"Unknown SKU"))</f>
        <v/>
      </c>
      <c r="E82" s="31"/>
      <c r="F82" s="31"/>
      <c r="G82" s="31"/>
      <c r="H82" s="38"/>
      <c r="I82" s="38"/>
      <c r="J82" s="36" t="str">
        <f aca="false">IF(OR(C82="",I82="",G82="Done"),"",I82-Settings!$C$9)</f>
        <v/>
      </c>
      <c r="K82" s="35" t="str">
        <f aca="false">IF(C82="","",IF(G82="Done","Done",IF(I82="","No due date",IF(I82&lt;Settings!$C$9,"Late",IF(I82-Settings!$C$9&lt;=Settings!$C$12,"Due soon","On track")))))</f>
        <v/>
      </c>
      <c r="L82" s="1"/>
    </row>
    <row r="83" customFormat="false" ht="21.75" hidden="false" customHeight="true" outlineLevel="0" collapsed="false">
      <c r="A83" s="1"/>
      <c r="B83" s="31"/>
      <c r="C83" s="31"/>
      <c r="D83" s="35" t="str">
        <f aca="false">IF(C83="","",IFERROR(INDEX(Products!$C$7:$C$104,MATCH(C83,Products!$B$7:$B$104,0)),"Unknown SKU"))</f>
        <v/>
      </c>
      <c r="E83" s="31"/>
      <c r="F83" s="31"/>
      <c r="G83" s="31"/>
      <c r="H83" s="38"/>
      <c r="I83" s="38"/>
      <c r="J83" s="36" t="str">
        <f aca="false">IF(OR(C83="",I83="",G83="Done"),"",I83-Settings!$C$9)</f>
        <v/>
      </c>
      <c r="K83" s="35" t="str">
        <f aca="false">IF(C83="","",IF(G83="Done","Done",IF(I83="","No due date",IF(I83&lt;Settings!$C$9,"Late",IF(I83-Settings!$C$9&lt;=Settings!$C$12,"Due soon","On track")))))</f>
        <v/>
      </c>
      <c r="L83" s="1"/>
    </row>
    <row r="84" customFormat="false" ht="21.75" hidden="false" customHeight="true" outlineLevel="0" collapsed="false">
      <c r="A84" s="1"/>
      <c r="B84" s="31"/>
      <c r="C84" s="31"/>
      <c r="D84" s="35" t="str">
        <f aca="false">IF(C84="","",IFERROR(INDEX(Products!$C$7:$C$104,MATCH(C84,Products!$B$7:$B$104,0)),"Unknown SKU"))</f>
        <v/>
      </c>
      <c r="E84" s="31"/>
      <c r="F84" s="31"/>
      <c r="G84" s="31"/>
      <c r="H84" s="38"/>
      <c r="I84" s="38"/>
      <c r="J84" s="36" t="str">
        <f aca="false">IF(OR(C84="",I84="",G84="Done"),"",I84-Settings!$C$9)</f>
        <v/>
      </c>
      <c r="K84" s="35" t="str">
        <f aca="false">IF(C84="","",IF(G84="Done","Done",IF(I84="","No due date",IF(I84&lt;Settings!$C$9,"Late",IF(I84-Settings!$C$9&lt;=Settings!$C$12,"Due soon","On track")))))</f>
        <v/>
      </c>
      <c r="L84" s="1"/>
    </row>
    <row r="85" customFormat="false" ht="21.75" hidden="false" customHeight="true" outlineLevel="0" collapsed="false">
      <c r="A85" s="1"/>
      <c r="B85" s="31"/>
      <c r="C85" s="31"/>
      <c r="D85" s="35" t="str">
        <f aca="false">IF(C85="","",IFERROR(INDEX(Products!$C$7:$C$104,MATCH(C85,Products!$B$7:$B$104,0)),"Unknown SKU"))</f>
        <v/>
      </c>
      <c r="E85" s="31"/>
      <c r="F85" s="31"/>
      <c r="G85" s="31"/>
      <c r="H85" s="38"/>
      <c r="I85" s="38"/>
      <c r="J85" s="36" t="str">
        <f aca="false">IF(OR(C85="",I85="",G85="Done"),"",I85-Settings!$C$9)</f>
        <v/>
      </c>
      <c r="K85" s="35" t="str">
        <f aca="false">IF(C85="","",IF(G85="Done","Done",IF(I85="","No due date",IF(I85&lt;Settings!$C$9,"Late",IF(I85-Settings!$C$9&lt;=Settings!$C$12,"Due soon","On track")))))</f>
        <v/>
      </c>
      <c r="L85" s="1"/>
    </row>
    <row r="86" customFormat="false" ht="21.75" hidden="false" customHeight="true" outlineLevel="0" collapsed="false">
      <c r="A86" s="1"/>
      <c r="B86" s="31"/>
      <c r="C86" s="31"/>
      <c r="D86" s="35" t="str">
        <f aca="false">IF(C86="","",IFERROR(INDEX(Products!$C$7:$C$104,MATCH(C86,Products!$B$7:$B$104,0)),"Unknown SKU"))</f>
        <v/>
      </c>
      <c r="E86" s="31"/>
      <c r="F86" s="31"/>
      <c r="G86" s="31"/>
      <c r="H86" s="38"/>
      <c r="I86" s="38"/>
      <c r="J86" s="36" t="str">
        <f aca="false">IF(OR(C86="",I86="",G86="Done"),"",I86-Settings!$C$9)</f>
        <v/>
      </c>
      <c r="K86" s="35" t="str">
        <f aca="false">IF(C86="","",IF(G86="Done","Done",IF(I86="","No due date",IF(I86&lt;Settings!$C$9,"Late",IF(I86-Settings!$C$9&lt;=Settings!$C$12,"Due soon","On track")))))</f>
        <v/>
      </c>
      <c r="L86" s="1"/>
    </row>
    <row r="87" customFormat="false" ht="21.75" hidden="false" customHeight="true" outlineLevel="0" collapsed="false">
      <c r="A87" s="1"/>
      <c r="B87" s="31"/>
      <c r="C87" s="31"/>
      <c r="D87" s="35" t="str">
        <f aca="false">IF(C87="","",IFERROR(INDEX(Products!$C$7:$C$104,MATCH(C87,Products!$B$7:$B$104,0)),"Unknown SKU"))</f>
        <v/>
      </c>
      <c r="E87" s="31"/>
      <c r="F87" s="31"/>
      <c r="G87" s="31"/>
      <c r="H87" s="38"/>
      <c r="I87" s="38"/>
      <c r="J87" s="36" t="str">
        <f aca="false">IF(OR(C87="",I87="",G87="Done"),"",I87-Settings!$C$9)</f>
        <v/>
      </c>
      <c r="K87" s="35" t="str">
        <f aca="false">IF(C87="","",IF(G87="Done","Done",IF(I87="","No due date",IF(I87&lt;Settings!$C$9,"Late",IF(I87-Settings!$C$9&lt;=Settings!$C$12,"Due soon","On track")))))</f>
        <v/>
      </c>
      <c r="L87" s="1"/>
    </row>
    <row r="88" customFormat="false" ht="21.75" hidden="false" customHeight="true" outlineLevel="0" collapsed="false">
      <c r="A88" s="1"/>
      <c r="B88" s="31"/>
      <c r="C88" s="31"/>
      <c r="D88" s="35" t="str">
        <f aca="false">IF(C88="","",IFERROR(INDEX(Products!$C$7:$C$104,MATCH(C88,Products!$B$7:$B$104,0)),"Unknown SKU"))</f>
        <v/>
      </c>
      <c r="E88" s="31"/>
      <c r="F88" s="31"/>
      <c r="G88" s="31"/>
      <c r="H88" s="38"/>
      <c r="I88" s="38"/>
      <c r="J88" s="36" t="str">
        <f aca="false">IF(OR(C88="",I88="",G88="Done"),"",I88-Settings!$C$9)</f>
        <v/>
      </c>
      <c r="K88" s="35" t="str">
        <f aca="false">IF(C88="","",IF(G88="Done","Done",IF(I88="","No due date",IF(I88&lt;Settings!$C$9,"Late",IF(I88-Settings!$C$9&lt;=Settings!$C$12,"Due soon","On track")))))</f>
        <v/>
      </c>
      <c r="L88" s="1"/>
    </row>
    <row r="89" customFormat="false" ht="21.75" hidden="false" customHeight="true" outlineLevel="0" collapsed="false">
      <c r="A89" s="1"/>
      <c r="B89" s="31"/>
      <c r="C89" s="31"/>
      <c r="D89" s="35" t="str">
        <f aca="false">IF(C89="","",IFERROR(INDEX(Products!$C$7:$C$104,MATCH(C89,Products!$B$7:$B$104,0)),"Unknown SKU"))</f>
        <v/>
      </c>
      <c r="E89" s="31"/>
      <c r="F89" s="31"/>
      <c r="G89" s="31"/>
      <c r="H89" s="38"/>
      <c r="I89" s="38"/>
      <c r="J89" s="36" t="str">
        <f aca="false">IF(OR(C89="",I89="",G89="Done"),"",I89-Settings!$C$9)</f>
        <v/>
      </c>
      <c r="K89" s="35" t="str">
        <f aca="false">IF(C89="","",IF(G89="Done","Done",IF(I89="","No due date",IF(I89&lt;Settings!$C$9,"Late",IF(I89-Settings!$C$9&lt;=Settings!$C$12,"Due soon","On track")))))</f>
        <v/>
      </c>
      <c r="L89" s="1"/>
    </row>
    <row r="90" customFormat="false" ht="21.75" hidden="false" customHeight="true" outlineLevel="0" collapsed="false">
      <c r="A90" s="1"/>
      <c r="B90" s="31"/>
      <c r="C90" s="31"/>
      <c r="D90" s="35" t="str">
        <f aca="false">IF(C90="","",IFERROR(INDEX(Products!$C$7:$C$104,MATCH(C90,Products!$B$7:$B$104,0)),"Unknown SKU"))</f>
        <v/>
      </c>
      <c r="E90" s="31"/>
      <c r="F90" s="31"/>
      <c r="G90" s="31"/>
      <c r="H90" s="38"/>
      <c r="I90" s="38"/>
      <c r="J90" s="36" t="str">
        <f aca="false">IF(OR(C90="",I90="",G90="Done"),"",I90-Settings!$C$9)</f>
        <v/>
      </c>
      <c r="K90" s="35" t="str">
        <f aca="false">IF(C90="","",IF(G90="Done","Done",IF(I90="","No due date",IF(I90&lt;Settings!$C$9,"Late",IF(I90-Settings!$C$9&lt;=Settings!$C$12,"Due soon","On track")))))</f>
        <v/>
      </c>
      <c r="L90" s="1"/>
    </row>
    <row r="91" customFormat="false" ht="21.75" hidden="false" customHeight="true" outlineLevel="0" collapsed="false">
      <c r="A91" s="1"/>
      <c r="B91" s="31"/>
      <c r="C91" s="31"/>
      <c r="D91" s="35" t="str">
        <f aca="false">IF(C91="","",IFERROR(INDEX(Products!$C$7:$C$104,MATCH(C91,Products!$B$7:$B$104,0)),"Unknown SKU"))</f>
        <v/>
      </c>
      <c r="E91" s="31"/>
      <c r="F91" s="31"/>
      <c r="G91" s="31"/>
      <c r="H91" s="38"/>
      <c r="I91" s="38"/>
      <c r="J91" s="36" t="str">
        <f aca="false">IF(OR(C91="",I91="",G91="Done"),"",I91-Settings!$C$9)</f>
        <v/>
      </c>
      <c r="K91" s="35" t="str">
        <f aca="false">IF(C91="","",IF(G91="Done","Done",IF(I91="","No due date",IF(I91&lt;Settings!$C$9,"Late",IF(I91-Settings!$C$9&lt;=Settings!$C$12,"Due soon","On track")))))</f>
        <v/>
      </c>
      <c r="L91" s="1"/>
    </row>
    <row r="92" customFormat="false" ht="21.75" hidden="false" customHeight="true" outlineLevel="0" collapsed="false">
      <c r="A92" s="1"/>
      <c r="B92" s="31"/>
      <c r="C92" s="31"/>
      <c r="D92" s="35" t="str">
        <f aca="false">IF(C92="","",IFERROR(INDEX(Products!$C$7:$C$104,MATCH(C92,Products!$B$7:$B$104,0)),"Unknown SKU"))</f>
        <v/>
      </c>
      <c r="E92" s="31"/>
      <c r="F92" s="31"/>
      <c r="G92" s="31"/>
      <c r="H92" s="38"/>
      <c r="I92" s="38"/>
      <c r="J92" s="36" t="str">
        <f aca="false">IF(OR(C92="",I92="",G92="Done"),"",I92-Settings!$C$9)</f>
        <v/>
      </c>
      <c r="K92" s="35" t="str">
        <f aca="false">IF(C92="","",IF(G92="Done","Done",IF(I92="","No due date",IF(I92&lt;Settings!$C$9,"Late",IF(I92-Settings!$C$9&lt;=Settings!$C$12,"Due soon","On track")))))</f>
        <v/>
      </c>
      <c r="L92" s="1"/>
    </row>
    <row r="93" customFormat="false" ht="21.75" hidden="false" customHeight="true" outlineLevel="0" collapsed="false">
      <c r="A93" s="1"/>
      <c r="B93" s="31"/>
      <c r="C93" s="31"/>
      <c r="D93" s="35" t="str">
        <f aca="false">IF(C93="","",IFERROR(INDEX(Products!$C$7:$C$104,MATCH(C93,Products!$B$7:$B$104,0)),"Unknown SKU"))</f>
        <v/>
      </c>
      <c r="E93" s="31"/>
      <c r="F93" s="31"/>
      <c r="G93" s="31"/>
      <c r="H93" s="38"/>
      <c r="I93" s="38"/>
      <c r="J93" s="36" t="str">
        <f aca="false">IF(OR(C93="",I93="",G93="Done"),"",I93-Settings!$C$9)</f>
        <v/>
      </c>
      <c r="K93" s="35" t="str">
        <f aca="false">IF(C93="","",IF(G93="Done","Done",IF(I93="","No due date",IF(I93&lt;Settings!$C$9,"Late",IF(I93-Settings!$C$9&lt;=Settings!$C$12,"Due soon","On track")))))</f>
        <v/>
      </c>
      <c r="L93" s="1"/>
    </row>
    <row r="94" customFormat="false" ht="21.75" hidden="false" customHeight="true" outlineLevel="0" collapsed="false">
      <c r="A94" s="1"/>
      <c r="B94" s="31"/>
      <c r="C94" s="31"/>
      <c r="D94" s="35" t="str">
        <f aca="false">IF(C94="","",IFERROR(INDEX(Products!$C$7:$C$104,MATCH(C94,Products!$B$7:$B$104,0)),"Unknown SKU"))</f>
        <v/>
      </c>
      <c r="E94" s="31"/>
      <c r="F94" s="31"/>
      <c r="G94" s="31"/>
      <c r="H94" s="38"/>
      <c r="I94" s="38"/>
      <c r="J94" s="36" t="str">
        <f aca="false">IF(OR(C94="",I94="",G94="Done"),"",I94-Settings!$C$9)</f>
        <v/>
      </c>
      <c r="K94" s="35" t="str">
        <f aca="false">IF(C94="","",IF(G94="Done","Done",IF(I94="","No due date",IF(I94&lt;Settings!$C$9,"Late",IF(I94-Settings!$C$9&lt;=Settings!$C$12,"Due soon","On track")))))</f>
        <v/>
      </c>
      <c r="L94" s="1"/>
    </row>
    <row r="95" customFormat="false" ht="21.75" hidden="false" customHeight="true" outlineLevel="0" collapsed="false">
      <c r="A95" s="1"/>
      <c r="B95" s="31"/>
      <c r="C95" s="31"/>
      <c r="D95" s="35" t="str">
        <f aca="false">IF(C95="","",IFERROR(INDEX(Products!$C$7:$C$104,MATCH(C95,Products!$B$7:$B$104,0)),"Unknown SKU"))</f>
        <v/>
      </c>
      <c r="E95" s="31"/>
      <c r="F95" s="31"/>
      <c r="G95" s="31"/>
      <c r="H95" s="38"/>
      <c r="I95" s="38"/>
      <c r="J95" s="36" t="str">
        <f aca="false">IF(OR(C95="",I95="",G95="Done"),"",I95-Settings!$C$9)</f>
        <v/>
      </c>
      <c r="K95" s="35" t="str">
        <f aca="false">IF(C95="","",IF(G95="Done","Done",IF(I95="","No due date",IF(I95&lt;Settings!$C$9,"Late",IF(I95-Settings!$C$9&lt;=Settings!$C$12,"Due soon","On track")))))</f>
        <v/>
      </c>
      <c r="L95" s="1"/>
    </row>
    <row r="96" customFormat="false" ht="21.75" hidden="false" customHeight="true" outlineLevel="0" collapsed="false">
      <c r="A96" s="1"/>
      <c r="B96" s="31"/>
      <c r="C96" s="31"/>
      <c r="D96" s="35" t="str">
        <f aca="false">IF(C96="","",IFERROR(INDEX(Products!$C$7:$C$104,MATCH(C96,Products!$B$7:$B$104,0)),"Unknown SKU"))</f>
        <v/>
      </c>
      <c r="E96" s="31"/>
      <c r="F96" s="31"/>
      <c r="G96" s="31"/>
      <c r="H96" s="38"/>
      <c r="I96" s="38"/>
      <c r="J96" s="36" t="str">
        <f aca="false">IF(OR(C96="",I96="",G96="Done"),"",I96-Settings!$C$9)</f>
        <v/>
      </c>
      <c r="K96" s="35" t="str">
        <f aca="false">IF(C96="","",IF(G96="Done","Done",IF(I96="","No due date",IF(I96&lt;Settings!$C$9,"Late",IF(I96-Settings!$C$9&lt;=Settings!$C$12,"Due soon","On track")))))</f>
        <v/>
      </c>
      <c r="L96" s="1"/>
    </row>
    <row r="97" customFormat="false" ht="21.75" hidden="false" customHeight="true" outlineLevel="0" collapsed="false">
      <c r="A97" s="1"/>
      <c r="B97" s="31"/>
      <c r="C97" s="31"/>
      <c r="D97" s="35" t="str">
        <f aca="false">IF(C97="","",IFERROR(INDEX(Products!$C$7:$C$104,MATCH(C97,Products!$B$7:$B$104,0)),"Unknown SKU"))</f>
        <v/>
      </c>
      <c r="E97" s="31"/>
      <c r="F97" s="31"/>
      <c r="G97" s="31"/>
      <c r="H97" s="38"/>
      <c r="I97" s="38"/>
      <c r="J97" s="36" t="str">
        <f aca="false">IF(OR(C97="",I97="",G97="Done"),"",I97-Settings!$C$9)</f>
        <v/>
      </c>
      <c r="K97" s="35" t="str">
        <f aca="false">IF(C97="","",IF(G97="Done","Done",IF(I97="","No due date",IF(I97&lt;Settings!$C$9,"Late",IF(I97-Settings!$C$9&lt;=Settings!$C$12,"Due soon","On track")))))</f>
        <v/>
      </c>
      <c r="L97" s="1"/>
    </row>
    <row r="98" customFormat="false" ht="21.75" hidden="false" customHeight="true" outlineLevel="0" collapsed="false">
      <c r="A98" s="1"/>
      <c r="B98" s="31"/>
      <c r="C98" s="31"/>
      <c r="D98" s="35" t="str">
        <f aca="false">IF(C98="","",IFERROR(INDEX(Products!$C$7:$C$104,MATCH(C98,Products!$B$7:$B$104,0)),"Unknown SKU"))</f>
        <v/>
      </c>
      <c r="E98" s="31"/>
      <c r="F98" s="31"/>
      <c r="G98" s="31"/>
      <c r="H98" s="38"/>
      <c r="I98" s="38"/>
      <c r="J98" s="36" t="str">
        <f aca="false">IF(OR(C98="",I98="",G98="Done"),"",I98-Settings!$C$9)</f>
        <v/>
      </c>
      <c r="K98" s="35" t="str">
        <f aca="false">IF(C98="","",IF(G98="Done","Done",IF(I98="","No due date",IF(I98&lt;Settings!$C$9,"Late",IF(I98-Settings!$C$9&lt;=Settings!$C$12,"Due soon","On track")))))</f>
        <v/>
      </c>
      <c r="L98" s="1"/>
    </row>
    <row r="99" customFormat="false" ht="21.75" hidden="false" customHeight="true" outlineLevel="0" collapsed="false">
      <c r="A99" s="1"/>
      <c r="B99" s="31"/>
      <c r="C99" s="31"/>
      <c r="D99" s="35" t="str">
        <f aca="false">IF(C99="","",IFERROR(INDEX(Products!$C$7:$C$104,MATCH(C99,Products!$B$7:$B$104,0)),"Unknown SKU"))</f>
        <v/>
      </c>
      <c r="E99" s="31"/>
      <c r="F99" s="31"/>
      <c r="G99" s="31"/>
      <c r="H99" s="38"/>
      <c r="I99" s="38"/>
      <c r="J99" s="36" t="str">
        <f aca="false">IF(OR(C99="",I99="",G99="Done"),"",I99-Settings!$C$9)</f>
        <v/>
      </c>
      <c r="K99" s="35" t="str">
        <f aca="false">IF(C99="","",IF(G99="Done","Done",IF(I99="","No due date",IF(I99&lt;Settings!$C$9,"Late",IF(I99-Settings!$C$9&lt;=Settings!$C$12,"Due soon","On track")))))</f>
        <v/>
      </c>
      <c r="L99" s="1"/>
    </row>
    <row r="100" customFormat="false" ht="21.75" hidden="false" customHeight="true" outlineLevel="0" collapsed="false">
      <c r="A100" s="1"/>
      <c r="B100" s="31"/>
      <c r="C100" s="31"/>
      <c r="D100" s="35" t="str">
        <f aca="false">IF(C100="","",IFERROR(INDEX(Products!$C$7:$C$104,MATCH(C100,Products!$B$7:$B$104,0)),"Unknown SKU"))</f>
        <v/>
      </c>
      <c r="E100" s="31"/>
      <c r="F100" s="31"/>
      <c r="G100" s="31"/>
      <c r="H100" s="38"/>
      <c r="I100" s="38"/>
      <c r="J100" s="36" t="str">
        <f aca="false">IF(OR(C100="",I100="",G100="Done"),"",I100-Settings!$C$9)</f>
        <v/>
      </c>
      <c r="K100" s="35" t="str">
        <f aca="false">IF(C100="","",IF(G100="Done","Done",IF(I100="","No due date",IF(I100&lt;Settings!$C$9,"Late",IF(I100-Settings!$C$9&lt;=Settings!$C$12,"Due soon","On track")))))</f>
        <v/>
      </c>
      <c r="L100" s="1"/>
    </row>
    <row r="101" customFormat="false" ht="21.75" hidden="false" customHeight="true" outlineLevel="0" collapsed="false">
      <c r="A101" s="1"/>
      <c r="B101" s="31"/>
      <c r="C101" s="31"/>
      <c r="D101" s="35" t="str">
        <f aca="false">IF(C101="","",IFERROR(INDEX(Products!$C$7:$C$104,MATCH(C101,Products!$B$7:$B$104,0)),"Unknown SKU"))</f>
        <v/>
      </c>
      <c r="E101" s="31"/>
      <c r="F101" s="31"/>
      <c r="G101" s="31"/>
      <c r="H101" s="38"/>
      <c r="I101" s="38"/>
      <c r="J101" s="36" t="str">
        <f aca="false">IF(OR(C101="",I101="",G101="Done"),"",I101-Settings!$C$9)</f>
        <v/>
      </c>
      <c r="K101" s="35" t="str">
        <f aca="false">IF(C101="","",IF(G101="Done","Done",IF(I101="","No due date",IF(I101&lt;Settings!$C$9,"Late",IF(I101-Settings!$C$9&lt;=Settings!$C$12,"Due soon","On track")))))</f>
        <v/>
      </c>
      <c r="L101" s="1"/>
    </row>
    <row r="102" customFormat="false" ht="21.75" hidden="false" customHeight="true" outlineLevel="0" collapsed="false">
      <c r="A102" s="1"/>
      <c r="B102" s="31"/>
      <c r="C102" s="31"/>
      <c r="D102" s="35" t="str">
        <f aca="false">IF(C102="","",IFERROR(INDEX(Products!$C$7:$C$104,MATCH(C102,Products!$B$7:$B$104,0)),"Unknown SKU"))</f>
        <v/>
      </c>
      <c r="E102" s="31"/>
      <c r="F102" s="31"/>
      <c r="G102" s="31"/>
      <c r="H102" s="38"/>
      <c r="I102" s="38"/>
      <c r="J102" s="36" t="str">
        <f aca="false">IF(OR(C102="",I102="",G102="Done"),"",I102-Settings!$C$9)</f>
        <v/>
      </c>
      <c r="K102" s="35" t="str">
        <f aca="false">IF(C102="","",IF(G102="Done","Done",IF(I102="","No due date",IF(I102&lt;Settings!$C$9,"Late",IF(I102-Settings!$C$9&lt;=Settings!$C$12,"Due soon","On track")))))</f>
        <v/>
      </c>
      <c r="L102" s="1"/>
    </row>
    <row r="103" customFormat="false" ht="21.75" hidden="false" customHeight="true" outlineLevel="0" collapsed="false">
      <c r="A103" s="1"/>
      <c r="B103" s="31"/>
      <c r="C103" s="31"/>
      <c r="D103" s="35" t="str">
        <f aca="false">IF(C103="","",IFERROR(INDEX(Products!$C$7:$C$104,MATCH(C103,Products!$B$7:$B$104,0)),"Unknown SKU"))</f>
        <v/>
      </c>
      <c r="E103" s="31"/>
      <c r="F103" s="31"/>
      <c r="G103" s="31"/>
      <c r="H103" s="38"/>
      <c r="I103" s="38"/>
      <c r="J103" s="36" t="str">
        <f aca="false">IF(OR(C103="",I103="",G103="Done"),"",I103-Settings!$C$9)</f>
        <v/>
      </c>
      <c r="K103" s="35" t="str">
        <f aca="false">IF(C103="","",IF(G103="Done","Done",IF(I103="","No due date",IF(I103&lt;Settings!$C$9,"Late",IF(I103-Settings!$C$9&lt;=Settings!$C$12,"Due soon","On track")))))</f>
        <v/>
      </c>
      <c r="L103" s="1"/>
    </row>
    <row r="104" customFormat="false" ht="21.75" hidden="false" customHeight="true" outlineLevel="0" collapsed="false">
      <c r="A104" s="1"/>
      <c r="B104" s="31"/>
      <c r="C104" s="31"/>
      <c r="D104" s="35" t="str">
        <f aca="false">IF(C104="","",IFERROR(INDEX(Products!$C$7:$C$104,MATCH(C104,Products!$B$7:$B$104,0)),"Unknown SKU"))</f>
        <v/>
      </c>
      <c r="E104" s="31"/>
      <c r="F104" s="31"/>
      <c r="G104" s="31"/>
      <c r="H104" s="38"/>
      <c r="I104" s="38"/>
      <c r="J104" s="36" t="str">
        <f aca="false">IF(OR(C104="",I104="",G104="Done"),"",I104-Settings!$C$9)</f>
        <v/>
      </c>
      <c r="K104" s="35" t="str">
        <f aca="false">IF(C104="","",IF(G104="Done","Done",IF(I104="","No due date",IF(I104&lt;Settings!$C$9,"Late",IF(I104-Settings!$C$9&lt;=Settings!$C$12,"Due soon","On track")))))</f>
        <v/>
      </c>
      <c r="L104" s="1"/>
    </row>
    <row r="105" customFormat="false" ht="21.75" hidden="false" customHeight="true" outlineLevel="0" collapsed="false">
      <c r="A105" s="1"/>
      <c r="B105" s="31"/>
      <c r="C105" s="31"/>
      <c r="D105" s="35" t="str">
        <f aca="false">IF(C105="","",IFERROR(INDEX(Products!$C$7:$C$104,MATCH(C105,Products!$B$7:$B$104,0)),"Unknown SKU"))</f>
        <v/>
      </c>
      <c r="E105" s="31"/>
      <c r="F105" s="31"/>
      <c r="G105" s="31"/>
      <c r="H105" s="38"/>
      <c r="I105" s="38"/>
      <c r="J105" s="36" t="str">
        <f aca="false">IF(OR(C105="",I105="",G105="Done"),"",I105-Settings!$C$9)</f>
        <v/>
      </c>
      <c r="K105" s="35" t="str">
        <f aca="false">IF(C105="","",IF(G105="Done","Done",IF(I105="","No due date",IF(I105&lt;Settings!$C$9,"Late",IF(I105-Settings!$C$9&lt;=Settings!$C$12,"Due soon","On track")))))</f>
        <v/>
      </c>
      <c r="L105" s="1"/>
    </row>
    <row r="106" customFormat="false" ht="21.75" hidden="false" customHeight="true" outlineLevel="0" collapsed="false">
      <c r="A106" s="1"/>
      <c r="B106" s="31"/>
      <c r="C106" s="31"/>
      <c r="D106" s="35" t="str">
        <f aca="false">IF(C106="","",IFERROR(INDEX(Products!$C$7:$C$104,MATCH(C106,Products!$B$7:$B$104,0)),"Unknown SKU"))</f>
        <v/>
      </c>
      <c r="E106" s="31"/>
      <c r="F106" s="31"/>
      <c r="G106" s="31"/>
      <c r="H106" s="38"/>
      <c r="I106" s="38"/>
      <c r="J106" s="36" t="str">
        <f aca="false">IF(OR(C106="",I106="",G106="Done"),"",I106-Settings!$C$9)</f>
        <v/>
      </c>
      <c r="K106" s="35" t="str">
        <f aca="false">IF(C106="","",IF(G106="Done","Done",IF(I106="","No due date",IF(I106&lt;Settings!$C$9,"Late",IF(I106-Settings!$C$9&lt;=Settings!$C$12,"Due soon","On track")))))</f>
        <v/>
      </c>
      <c r="L106" s="1"/>
    </row>
    <row r="107" customFormat="false" ht="21.75" hidden="false" customHeight="true" outlineLevel="0" collapsed="false">
      <c r="A107" s="1"/>
      <c r="B107" s="31"/>
      <c r="C107" s="31"/>
      <c r="D107" s="35" t="str">
        <f aca="false">IF(C107="","",IFERROR(INDEX(Products!$C$7:$C$104,MATCH(C107,Products!$B$7:$B$104,0)),"Unknown SKU"))</f>
        <v/>
      </c>
      <c r="E107" s="31"/>
      <c r="F107" s="31"/>
      <c r="G107" s="31"/>
      <c r="H107" s="38"/>
      <c r="I107" s="38"/>
      <c r="J107" s="36" t="str">
        <f aca="false">IF(OR(C107="",I107="",G107="Done"),"",I107-Settings!$C$9)</f>
        <v/>
      </c>
      <c r="K107" s="35" t="str">
        <f aca="false">IF(C107="","",IF(G107="Done","Done",IF(I107="","No due date",IF(I107&lt;Settings!$C$9,"Late",IF(I107-Settings!$C$9&lt;=Settings!$C$12,"Due soon","On track")))))</f>
        <v/>
      </c>
      <c r="L107" s="1"/>
    </row>
    <row r="108" customFormat="false" ht="21.75" hidden="false" customHeight="true" outlineLevel="0" collapsed="false">
      <c r="A108" s="1"/>
      <c r="B108" s="31"/>
      <c r="C108" s="31"/>
      <c r="D108" s="35" t="str">
        <f aca="false">IF(C108="","",IFERROR(INDEX(Products!$C$7:$C$104,MATCH(C108,Products!$B$7:$B$104,0)),"Unknown SKU"))</f>
        <v/>
      </c>
      <c r="E108" s="31"/>
      <c r="F108" s="31"/>
      <c r="G108" s="31"/>
      <c r="H108" s="38"/>
      <c r="I108" s="38"/>
      <c r="J108" s="36" t="str">
        <f aca="false">IF(OR(C108="",I108="",G108="Done"),"",I108-Settings!$C$9)</f>
        <v/>
      </c>
      <c r="K108" s="35" t="str">
        <f aca="false">IF(C108="","",IF(G108="Done","Done",IF(I108="","No due date",IF(I108&lt;Settings!$C$9,"Late",IF(I108-Settings!$C$9&lt;=Settings!$C$12,"Due soon","On track")))))</f>
        <v/>
      </c>
      <c r="L108" s="1"/>
    </row>
    <row r="109" customFormat="false" ht="21.75" hidden="false" customHeight="true" outlineLevel="0" collapsed="false">
      <c r="A109" s="1"/>
      <c r="B109" s="31"/>
      <c r="C109" s="31"/>
      <c r="D109" s="35" t="str">
        <f aca="false">IF(C109="","",IFERROR(INDEX(Products!$C$7:$C$104,MATCH(C109,Products!$B$7:$B$104,0)),"Unknown SKU"))</f>
        <v/>
      </c>
      <c r="E109" s="31"/>
      <c r="F109" s="31"/>
      <c r="G109" s="31"/>
      <c r="H109" s="38"/>
      <c r="I109" s="38"/>
      <c r="J109" s="36" t="str">
        <f aca="false">IF(OR(C109="",I109="",G109="Done"),"",I109-Settings!$C$9)</f>
        <v/>
      </c>
      <c r="K109" s="35" t="str">
        <f aca="false">IF(C109="","",IF(G109="Done","Done",IF(I109="","No due date",IF(I109&lt;Settings!$C$9,"Late",IF(I109-Settings!$C$9&lt;=Settings!$C$12,"Due soon","On track")))))</f>
        <v/>
      </c>
      <c r="L109" s="1"/>
    </row>
    <row r="110" customFormat="false" ht="21.75" hidden="false" customHeight="true" outlineLevel="0" collapsed="false">
      <c r="A110" s="1"/>
      <c r="B110" s="31"/>
      <c r="C110" s="31"/>
      <c r="D110" s="35" t="str">
        <f aca="false">IF(C110="","",IFERROR(INDEX(Products!$C$7:$C$104,MATCH(C110,Products!$B$7:$B$104,0)),"Unknown SKU"))</f>
        <v/>
      </c>
      <c r="E110" s="31"/>
      <c r="F110" s="31"/>
      <c r="G110" s="31"/>
      <c r="H110" s="38"/>
      <c r="I110" s="38"/>
      <c r="J110" s="36" t="str">
        <f aca="false">IF(OR(C110="",I110="",G110="Done"),"",I110-Settings!$C$9)</f>
        <v/>
      </c>
      <c r="K110" s="35" t="str">
        <f aca="false">IF(C110="","",IF(G110="Done","Done",IF(I110="","No due date",IF(I110&lt;Settings!$C$9,"Late",IF(I110-Settings!$C$9&lt;=Settings!$C$12,"Due soon","On track")))))</f>
        <v/>
      </c>
      <c r="L110" s="1"/>
    </row>
    <row r="111" customFormat="false" ht="21.75" hidden="false" customHeight="true" outlineLevel="0" collapsed="false">
      <c r="A111" s="1"/>
      <c r="B111" s="31"/>
      <c r="C111" s="31"/>
      <c r="D111" s="35" t="str">
        <f aca="false">IF(C111="","",IFERROR(INDEX(Products!$C$7:$C$104,MATCH(C111,Products!$B$7:$B$104,0)),"Unknown SKU"))</f>
        <v/>
      </c>
      <c r="E111" s="31"/>
      <c r="F111" s="31"/>
      <c r="G111" s="31"/>
      <c r="H111" s="38"/>
      <c r="I111" s="38"/>
      <c r="J111" s="36" t="str">
        <f aca="false">IF(OR(C111="",I111="",G111="Done"),"",I111-Settings!$C$9)</f>
        <v/>
      </c>
      <c r="K111" s="35" t="str">
        <f aca="false">IF(C111="","",IF(G111="Done","Done",IF(I111="","No due date",IF(I111&lt;Settings!$C$9,"Late",IF(I111-Settings!$C$9&lt;=Settings!$C$12,"Due soon","On track")))))</f>
        <v/>
      </c>
      <c r="L111" s="1"/>
    </row>
    <row r="112" customFormat="false" ht="21.75" hidden="false" customHeight="true" outlineLevel="0" collapsed="false">
      <c r="A112" s="1"/>
      <c r="B112" s="31"/>
      <c r="C112" s="31"/>
      <c r="D112" s="35" t="str">
        <f aca="false">IF(C112="","",IFERROR(INDEX(Products!$C$7:$C$104,MATCH(C112,Products!$B$7:$B$104,0)),"Unknown SKU"))</f>
        <v/>
      </c>
      <c r="E112" s="31"/>
      <c r="F112" s="31"/>
      <c r="G112" s="31"/>
      <c r="H112" s="38"/>
      <c r="I112" s="38"/>
      <c r="J112" s="36" t="str">
        <f aca="false">IF(OR(C112="",I112="",G112="Done"),"",I112-Settings!$C$9)</f>
        <v/>
      </c>
      <c r="K112" s="35" t="str">
        <f aca="false">IF(C112="","",IF(G112="Done","Done",IF(I112="","No due date",IF(I112&lt;Settings!$C$9,"Late",IF(I112-Settings!$C$9&lt;=Settings!$C$12,"Due soon","On track")))))</f>
        <v/>
      </c>
      <c r="L112" s="1"/>
    </row>
    <row r="113" customFormat="false" ht="21.75" hidden="false" customHeight="true" outlineLevel="0" collapsed="false">
      <c r="A113" s="1"/>
      <c r="B113" s="31"/>
      <c r="C113" s="31"/>
      <c r="D113" s="35" t="str">
        <f aca="false">IF(C113="","",IFERROR(INDEX(Products!$C$7:$C$104,MATCH(C113,Products!$B$7:$B$104,0)),"Unknown SKU"))</f>
        <v/>
      </c>
      <c r="E113" s="31"/>
      <c r="F113" s="31"/>
      <c r="G113" s="31"/>
      <c r="H113" s="38"/>
      <c r="I113" s="38"/>
      <c r="J113" s="36" t="str">
        <f aca="false">IF(OR(C113="",I113="",G113="Done"),"",I113-Settings!$C$9)</f>
        <v/>
      </c>
      <c r="K113" s="35" t="str">
        <f aca="false">IF(C113="","",IF(G113="Done","Done",IF(I113="","No due date",IF(I113&lt;Settings!$C$9,"Late",IF(I113-Settings!$C$9&lt;=Settings!$C$12,"Due soon","On track")))))</f>
        <v/>
      </c>
      <c r="L113" s="1"/>
    </row>
    <row r="114" customFormat="false" ht="21.75" hidden="false" customHeight="true" outlineLevel="0" collapsed="false">
      <c r="A114" s="1"/>
      <c r="B114" s="31"/>
      <c r="C114" s="31"/>
      <c r="D114" s="35" t="str">
        <f aca="false">IF(C114="","",IFERROR(INDEX(Products!$C$7:$C$104,MATCH(C114,Products!$B$7:$B$104,0)),"Unknown SKU"))</f>
        <v/>
      </c>
      <c r="E114" s="31"/>
      <c r="F114" s="31"/>
      <c r="G114" s="31"/>
      <c r="H114" s="38"/>
      <c r="I114" s="38"/>
      <c r="J114" s="36" t="str">
        <f aca="false">IF(OR(C114="",I114="",G114="Done"),"",I114-Settings!$C$9)</f>
        <v/>
      </c>
      <c r="K114" s="35" t="str">
        <f aca="false">IF(C114="","",IF(G114="Done","Done",IF(I114="","No due date",IF(I114&lt;Settings!$C$9,"Late",IF(I114-Settings!$C$9&lt;=Settings!$C$12,"Due soon","On track")))))</f>
        <v/>
      </c>
      <c r="L114" s="1"/>
    </row>
    <row r="115" customFormat="false" ht="21.75" hidden="false" customHeight="true" outlineLevel="0" collapsed="false">
      <c r="A115" s="1"/>
      <c r="B115" s="31"/>
      <c r="C115" s="31"/>
      <c r="D115" s="35" t="str">
        <f aca="false">IF(C115="","",IFERROR(INDEX(Products!$C$7:$C$104,MATCH(C115,Products!$B$7:$B$104,0)),"Unknown SKU"))</f>
        <v/>
      </c>
      <c r="E115" s="31"/>
      <c r="F115" s="31"/>
      <c r="G115" s="31"/>
      <c r="H115" s="38"/>
      <c r="I115" s="38"/>
      <c r="J115" s="36" t="str">
        <f aca="false">IF(OR(C115="",I115="",G115="Done"),"",I115-Settings!$C$9)</f>
        <v/>
      </c>
      <c r="K115" s="35" t="str">
        <f aca="false">IF(C115="","",IF(G115="Done","Done",IF(I115="","No due date",IF(I115&lt;Settings!$C$9,"Late",IF(I115-Settings!$C$9&lt;=Settings!$C$12,"Due soon","On track")))))</f>
        <v/>
      </c>
      <c r="L115" s="1"/>
    </row>
    <row r="116" customFormat="false" ht="21.75" hidden="false" customHeight="true" outlineLevel="0" collapsed="false">
      <c r="A116" s="1"/>
      <c r="B116" s="31"/>
      <c r="C116" s="31"/>
      <c r="D116" s="35" t="str">
        <f aca="false">IF(C116="","",IFERROR(INDEX(Products!$C$7:$C$104,MATCH(C116,Products!$B$7:$B$104,0)),"Unknown SKU"))</f>
        <v/>
      </c>
      <c r="E116" s="31"/>
      <c r="F116" s="31"/>
      <c r="G116" s="31"/>
      <c r="H116" s="38"/>
      <c r="I116" s="38"/>
      <c r="J116" s="36" t="str">
        <f aca="false">IF(OR(C116="",I116="",G116="Done"),"",I116-Settings!$C$9)</f>
        <v/>
      </c>
      <c r="K116" s="35" t="str">
        <f aca="false">IF(C116="","",IF(G116="Done","Done",IF(I116="","No due date",IF(I116&lt;Settings!$C$9,"Late",IF(I116-Settings!$C$9&lt;=Settings!$C$12,"Due soon","On track")))))</f>
        <v/>
      </c>
      <c r="L116" s="1"/>
    </row>
    <row r="117" customFormat="false" ht="21.75" hidden="false" customHeight="true" outlineLevel="0" collapsed="false">
      <c r="A117" s="1"/>
      <c r="B117" s="31"/>
      <c r="C117" s="31"/>
      <c r="D117" s="35" t="str">
        <f aca="false">IF(C117="","",IFERROR(INDEX(Products!$C$7:$C$104,MATCH(C117,Products!$B$7:$B$104,0)),"Unknown SKU"))</f>
        <v/>
      </c>
      <c r="E117" s="31"/>
      <c r="F117" s="31"/>
      <c r="G117" s="31"/>
      <c r="H117" s="38"/>
      <c r="I117" s="38"/>
      <c r="J117" s="36" t="str">
        <f aca="false">IF(OR(C117="",I117="",G117="Done"),"",I117-Settings!$C$9)</f>
        <v/>
      </c>
      <c r="K117" s="35" t="str">
        <f aca="false">IF(C117="","",IF(G117="Done","Done",IF(I117="","No due date",IF(I117&lt;Settings!$C$9,"Late",IF(I117-Settings!$C$9&lt;=Settings!$C$12,"Due soon","On track")))))</f>
        <v/>
      </c>
      <c r="L117" s="1"/>
    </row>
    <row r="118" customFormat="false" ht="21.75" hidden="false" customHeight="true" outlineLevel="0" collapsed="false">
      <c r="A118" s="1"/>
      <c r="B118" s="31"/>
      <c r="C118" s="31"/>
      <c r="D118" s="35" t="str">
        <f aca="false">IF(C118="","",IFERROR(INDEX(Products!$C$7:$C$104,MATCH(C118,Products!$B$7:$B$104,0)),"Unknown SKU"))</f>
        <v/>
      </c>
      <c r="E118" s="31"/>
      <c r="F118" s="31"/>
      <c r="G118" s="31"/>
      <c r="H118" s="38"/>
      <c r="I118" s="38"/>
      <c r="J118" s="36" t="str">
        <f aca="false">IF(OR(C118="",I118="",G118="Done"),"",I118-Settings!$C$9)</f>
        <v/>
      </c>
      <c r="K118" s="35" t="str">
        <f aca="false">IF(C118="","",IF(G118="Done","Done",IF(I118="","No due date",IF(I118&lt;Settings!$C$9,"Late",IF(I118-Settings!$C$9&lt;=Settings!$C$12,"Due soon","On track")))))</f>
        <v/>
      </c>
      <c r="L118" s="1"/>
    </row>
    <row r="119" customFormat="false" ht="21.75" hidden="false" customHeight="true" outlineLevel="0" collapsed="false">
      <c r="A119" s="1"/>
      <c r="B119" s="31"/>
      <c r="C119" s="31"/>
      <c r="D119" s="35" t="str">
        <f aca="false">IF(C119="","",IFERROR(INDEX(Products!$C$7:$C$104,MATCH(C119,Products!$B$7:$B$104,0)),"Unknown SKU"))</f>
        <v/>
      </c>
      <c r="E119" s="31"/>
      <c r="F119" s="31"/>
      <c r="G119" s="31"/>
      <c r="H119" s="38"/>
      <c r="I119" s="38"/>
      <c r="J119" s="36" t="str">
        <f aca="false">IF(OR(C119="",I119="",G119="Done"),"",I119-Settings!$C$9)</f>
        <v/>
      </c>
      <c r="K119" s="35" t="str">
        <f aca="false">IF(C119="","",IF(G119="Done","Done",IF(I119="","No due date",IF(I119&lt;Settings!$C$9,"Late",IF(I119-Settings!$C$9&lt;=Settings!$C$12,"Due soon","On track")))))</f>
        <v/>
      </c>
      <c r="L119" s="1"/>
    </row>
    <row r="120" customFormat="false" ht="21.75" hidden="false" customHeight="true" outlineLevel="0" collapsed="false">
      <c r="A120" s="1"/>
      <c r="B120" s="31"/>
      <c r="C120" s="31"/>
      <c r="D120" s="35" t="str">
        <f aca="false">IF(C120="","",IFERROR(INDEX(Products!$C$7:$C$104,MATCH(C120,Products!$B$7:$B$104,0)),"Unknown SKU"))</f>
        <v/>
      </c>
      <c r="E120" s="31"/>
      <c r="F120" s="31"/>
      <c r="G120" s="31"/>
      <c r="H120" s="38"/>
      <c r="I120" s="38"/>
      <c r="J120" s="36" t="str">
        <f aca="false">IF(OR(C120="",I120="",G120="Done"),"",I120-Settings!$C$9)</f>
        <v/>
      </c>
      <c r="K120" s="35" t="str">
        <f aca="false">IF(C120="","",IF(G120="Done","Done",IF(I120="","No due date",IF(I120&lt;Settings!$C$9,"Late",IF(I120-Settings!$C$9&lt;=Settings!$C$12,"Due soon","On track")))))</f>
        <v/>
      </c>
      <c r="L120" s="1"/>
    </row>
    <row r="121" customFormat="false" ht="21.75" hidden="false" customHeight="true" outlineLevel="0" collapsed="false">
      <c r="A121" s="1"/>
      <c r="B121" s="31"/>
      <c r="C121" s="31"/>
      <c r="D121" s="35" t="str">
        <f aca="false">IF(C121="","",IFERROR(INDEX(Products!$C$7:$C$104,MATCH(C121,Products!$B$7:$B$104,0)),"Unknown SKU"))</f>
        <v/>
      </c>
      <c r="E121" s="31"/>
      <c r="F121" s="31"/>
      <c r="G121" s="31"/>
      <c r="H121" s="38"/>
      <c r="I121" s="38"/>
      <c r="J121" s="36" t="str">
        <f aca="false">IF(OR(C121="",I121="",G121="Done"),"",I121-Settings!$C$9)</f>
        <v/>
      </c>
      <c r="K121" s="35" t="str">
        <f aca="false">IF(C121="","",IF(G121="Done","Done",IF(I121="","No due date",IF(I121&lt;Settings!$C$9,"Late",IF(I121-Settings!$C$9&lt;=Settings!$C$12,"Due soon","On track")))))</f>
        <v/>
      </c>
      <c r="L121" s="1"/>
    </row>
    <row r="122" customFormat="false" ht="21.75" hidden="false" customHeight="true" outlineLevel="0" collapsed="false">
      <c r="A122" s="1"/>
      <c r="B122" s="31"/>
      <c r="C122" s="31"/>
      <c r="D122" s="35" t="str">
        <f aca="false">IF(C122="","",IFERROR(INDEX(Products!$C$7:$C$104,MATCH(C122,Products!$B$7:$B$104,0)),"Unknown SKU"))</f>
        <v/>
      </c>
      <c r="E122" s="31"/>
      <c r="F122" s="31"/>
      <c r="G122" s="31"/>
      <c r="H122" s="38"/>
      <c r="I122" s="38"/>
      <c r="J122" s="36" t="str">
        <f aca="false">IF(OR(C122="",I122="",G122="Done"),"",I122-Settings!$C$9)</f>
        <v/>
      </c>
      <c r="K122" s="35" t="str">
        <f aca="false">IF(C122="","",IF(G122="Done","Done",IF(I122="","No due date",IF(I122&lt;Settings!$C$9,"Late",IF(I122-Settings!$C$9&lt;=Settings!$C$12,"Due soon","On track")))))</f>
        <v/>
      </c>
      <c r="L122" s="1"/>
    </row>
    <row r="123" customFormat="false" ht="21.75" hidden="false" customHeight="true" outlineLevel="0" collapsed="false">
      <c r="A123" s="1"/>
      <c r="B123" s="31"/>
      <c r="C123" s="31"/>
      <c r="D123" s="35" t="str">
        <f aca="false">IF(C123="","",IFERROR(INDEX(Products!$C$7:$C$104,MATCH(C123,Products!$B$7:$B$104,0)),"Unknown SKU"))</f>
        <v/>
      </c>
      <c r="E123" s="31"/>
      <c r="F123" s="31"/>
      <c r="G123" s="31"/>
      <c r="H123" s="38"/>
      <c r="I123" s="38"/>
      <c r="J123" s="36" t="str">
        <f aca="false">IF(OR(C123="",I123="",G123="Done"),"",I123-Settings!$C$9)</f>
        <v/>
      </c>
      <c r="K123" s="35" t="str">
        <f aca="false">IF(C123="","",IF(G123="Done","Done",IF(I123="","No due date",IF(I123&lt;Settings!$C$9,"Late",IF(I123-Settings!$C$9&lt;=Settings!$C$12,"Due soon","On track")))))</f>
        <v/>
      </c>
      <c r="L123" s="1"/>
    </row>
    <row r="124" customFormat="false" ht="21.75" hidden="false" customHeight="true" outlineLevel="0" collapsed="false">
      <c r="A124" s="1"/>
      <c r="B124" s="31"/>
      <c r="C124" s="31"/>
      <c r="D124" s="35" t="str">
        <f aca="false">IF(C124="","",IFERROR(INDEX(Products!$C$7:$C$104,MATCH(C124,Products!$B$7:$B$104,0)),"Unknown SKU"))</f>
        <v/>
      </c>
      <c r="E124" s="31"/>
      <c r="F124" s="31"/>
      <c r="G124" s="31"/>
      <c r="H124" s="38"/>
      <c r="I124" s="38"/>
      <c r="J124" s="36" t="str">
        <f aca="false">IF(OR(C124="",I124="",G124="Done"),"",I124-Settings!$C$9)</f>
        <v/>
      </c>
      <c r="K124" s="35" t="str">
        <f aca="false">IF(C124="","",IF(G124="Done","Done",IF(I124="","No due date",IF(I124&lt;Settings!$C$9,"Late",IF(I124-Settings!$C$9&lt;=Settings!$C$12,"Due soon","On track")))))</f>
        <v/>
      </c>
      <c r="L124" s="1"/>
    </row>
    <row r="125" customFormat="false" ht="21.75" hidden="false" customHeight="true" outlineLevel="0" collapsed="false">
      <c r="A125" s="1"/>
      <c r="B125" s="31"/>
      <c r="C125" s="31"/>
      <c r="D125" s="35" t="str">
        <f aca="false">IF(C125="","",IFERROR(INDEX(Products!$C$7:$C$104,MATCH(C125,Products!$B$7:$B$104,0)),"Unknown SKU"))</f>
        <v/>
      </c>
      <c r="E125" s="31"/>
      <c r="F125" s="31"/>
      <c r="G125" s="31"/>
      <c r="H125" s="38"/>
      <c r="I125" s="38"/>
      <c r="J125" s="36" t="str">
        <f aca="false">IF(OR(C125="",I125="",G125="Done"),"",I125-Settings!$C$9)</f>
        <v/>
      </c>
      <c r="K125" s="35" t="str">
        <f aca="false">IF(C125="","",IF(G125="Done","Done",IF(I125="","No due date",IF(I125&lt;Settings!$C$9,"Late",IF(I125-Settings!$C$9&lt;=Settings!$C$12,"Due soon","On track")))))</f>
        <v/>
      </c>
      <c r="L125" s="1"/>
    </row>
    <row r="126" customFormat="false" ht="21.75" hidden="false" customHeight="true" outlineLevel="0" collapsed="false">
      <c r="A126" s="1"/>
      <c r="B126" s="31"/>
      <c r="C126" s="31"/>
      <c r="D126" s="35" t="str">
        <f aca="false">IF(C126="","",IFERROR(INDEX(Products!$C$7:$C$104,MATCH(C126,Products!$B$7:$B$104,0)),"Unknown SKU"))</f>
        <v/>
      </c>
      <c r="E126" s="31"/>
      <c r="F126" s="31"/>
      <c r="G126" s="31"/>
      <c r="H126" s="38"/>
      <c r="I126" s="38"/>
      <c r="J126" s="36" t="str">
        <f aca="false">IF(OR(C126="",I126="",G126="Done"),"",I126-Settings!$C$9)</f>
        <v/>
      </c>
      <c r="K126" s="35" t="str">
        <f aca="false">IF(C126="","",IF(G126="Done","Done",IF(I126="","No due date",IF(I126&lt;Settings!$C$9,"Late",IF(I126-Settings!$C$9&lt;=Settings!$C$12,"Due soon","On track")))))</f>
        <v/>
      </c>
      <c r="L126" s="1"/>
    </row>
    <row r="127" customFormat="false" ht="21.75" hidden="false" customHeight="true" outlineLevel="0" collapsed="false">
      <c r="A127" s="1"/>
      <c r="B127" s="31"/>
      <c r="C127" s="31"/>
      <c r="D127" s="35" t="str">
        <f aca="false">IF(C127="","",IFERROR(INDEX(Products!$C$7:$C$104,MATCH(C127,Products!$B$7:$B$104,0)),"Unknown SKU"))</f>
        <v/>
      </c>
      <c r="E127" s="31"/>
      <c r="F127" s="31"/>
      <c r="G127" s="31"/>
      <c r="H127" s="38"/>
      <c r="I127" s="38"/>
      <c r="J127" s="36" t="str">
        <f aca="false">IF(OR(C127="",I127="",G127="Done"),"",I127-Settings!$C$9)</f>
        <v/>
      </c>
      <c r="K127" s="35" t="str">
        <f aca="false">IF(C127="","",IF(G127="Done","Done",IF(I127="","No due date",IF(I127&lt;Settings!$C$9,"Late",IF(I127-Settings!$C$9&lt;=Settings!$C$12,"Due soon","On track")))))</f>
        <v/>
      </c>
      <c r="L127" s="1"/>
    </row>
    <row r="128" customFormat="false" ht="21.75" hidden="false" customHeight="true" outlineLevel="0" collapsed="false">
      <c r="A128" s="1"/>
      <c r="B128" s="31"/>
      <c r="C128" s="31"/>
      <c r="D128" s="35" t="str">
        <f aca="false">IF(C128="","",IFERROR(INDEX(Products!$C$7:$C$104,MATCH(C128,Products!$B$7:$B$104,0)),"Unknown SKU"))</f>
        <v/>
      </c>
      <c r="E128" s="31"/>
      <c r="F128" s="31"/>
      <c r="G128" s="31"/>
      <c r="H128" s="38"/>
      <c r="I128" s="38"/>
      <c r="J128" s="36" t="str">
        <f aca="false">IF(OR(C128="",I128="",G128="Done"),"",I128-Settings!$C$9)</f>
        <v/>
      </c>
      <c r="K128" s="35" t="str">
        <f aca="false">IF(C128="","",IF(G128="Done","Done",IF(I128="","No due date",IF(I128&lt;Settings!$C$9,"Late",IF(I128-Settings!$C$9&lt;=Settings!$C$12,"Due soon","On track")))))</f>
        <v/>
      </c>
      <c r="L128" s="1"/>
    </row>
    <row r="129" customFormat="false" ht="21.75" hidden="false" customHeight="true" outlineLevel="0" collapsed="false">
      <c r="A129" s="1"/>
      <c r="B129" s="31"/>
      <c r="C129" s="31"/>
      <c r="D129" s="35" t="str">
        <f aca="false">IF(C129="","",IFERROR(INDEX(Products!$C$7:$C$104,MATCH(C129,Products!$B$7:$B$104,0)),"Unknown SKU"))</f>
        <v/>
      </c>
      <c r="E129" s="31"/>
      <c r="F129" s="31"/>
      <c r="G129" s="31"/>
      <c r="H129" s="38"/>
      <c r="I129" s="38"/>
      <c r="J129" s="36" t="str">
        <f aca="false">IF(OR(C129="",I129="",G129="Done"),"",I129-Settings!$C$9)</f>
        <v/>
      </c>
      <c r="K129" s="35" t="str">
        <f aca="false">IF(C129="","",IF(G129="Done","Done",IF(I129="","No due date",IF(I129&lt;Settings!$C$9,"Late",IF(I129-Settings!$C$9&lt;=Settings!$C$12,"Due soon","On track")))))</f>
        <v/>
      </c>
      <c r="L129" s="1"/>
    </row>
    <row r="130" customFormat="false" ht="21.75" hidden="false" customHeight="true" outlineLevel="0" collapsed="false">
      <c r="A130" s="1"/>
      <c r="B130" s="31"/>
      <c r="C130" s="31"/>
      <c r="D130" s="35" t="str">
        <f aca="false">IF(C130="","",IFERROR(INDEX(Products!$C$7:$C$104,MATCH(C130,Products!$B$7:$B$104,0)),"Unknown SKU"))</f>
        <v/>
      </c>
      <c r="E130" s="31"/>
      <c r="F130" s="31"/>
      <c r="G130" s="31"/>
      <c r="H130" s="38"/>
      <c r="I130" s="38"/>
      <c r="J130" s="36" t="str">
        <f aca="false">IF(OR(C130="",I130="",G130="Done"),"",I130-Settings!$C$9)</f>
        <v/>
      </c>
      <c r="K130" s="35" t="str">
        <f aca="false">IF(C130="","",IF(G130="Done","Done",IF(I130="","No due date",IF(I130&lt;Settings!$C$9,"Late",IF(I130-Settings!$C$9&lt;=Settings!$C$12,"Due soon","On track")))))</f>
        <v/>
      </c>
      <c r="L130" s="1"/>
    </row>
    <row r="131" customFormat="false" ht="21.75" hidden="false" customHeight="true" outlineLevel="0" collapsed="false">
      <c r="A131" s="1"/>
      <c r="B131" s="31"/>
      <c r="C131" s="31"/>
      <c r="D131" s="35" t="str">
        <f aca="false">IF(C131="","",IFERROR(INDEX(Products!$C$7:$C$104,MATCH(C131,Products!$B$7:$B$104,0)),"Unknown SKU"))</f>
        <v/>
      </c>
      <c r="E131" s="31"/>
      <c r="F131" s="31"/>
      <c r="G131" s="31"/>
      <c r="H131" s="38"/>
      <c r="I131" s="38"/>
      <c r="J131" s="36" t="str">
        <f aca="false">IF(OR(C131="",I131="",G131="Done"),"",I131-Settings!$C$9)</f>
        <v/>
      </c>
      <c r="K131" s="35" t="str">
        <f aca="false">IF(C131="","",IF(G131="Done","Done",IF(I131="","No due date",IF(I131&lt;Settings!$C$9,"Late",IF(I131-Settings!$C$9&lt;=Settings!$C$12,"Due soon","On track")))))</f>
        <v/>
      </c>
      <c r="L131" s="1"/>
    </row>
    <row r="132" customFormat="false" ht="21.75" hidden="false" customHeight="true" outlineLevel="0" collapsed="false">
      <c r="A132" s="1"/>
      <c r="B132" s="31"/>
      <c r="C132" s="31"/>
      <c r="D132" s="35" t="str">
        <f aca="false">IF(C132="","",IFERROR(INDEX(Products!$C$7:$C$104,MATCH(C132,Products!$B$7:$B$104,0)),"Unknown SKU"))</f>
        <v/>
      </c>
      <c r="E132" s="31"/>
      <c r="F132" s="31"/>
      <c r="G132" s="31"/>
      <c r="H132" s="38"/>
      <c r="I132" s="38"/>
      <c r="J132" s="36" t="str">
        <f aca="false">IF(OR(C132="",I132="",G132="Done"),"",I132-Settings!$C$9)</f>
        <v/>
      </c>
      <c r="K132" s="35" t="str">
        <f aca="false">IF(C132="","",IF(G132="Done","Done",IF(I132="","No due date",IF(I132&lt;Settings!$C$9,"Late",IF(I132-Settings!$C$9&lt;=Settings!$C$12,"Due soon","On track")))))</f>
        <v/>
      </c>
      <c r="L132" s="1"/>
    </row>
    <row r="133" customFormat="false" ht="21.75" hidden="false" customHeight="true" outlineLevel="0" collapsed="false">
      <c r="A133" s="1"/>
      <c r="B133" s="31"/>
      <c r="C133" s="31"/>
      <c r="D133" s="35" t="str">
        <f aca="false">IF(C133="","",IFERROR(INDEX(Products!$C$7:$C$104,MATCH(C133,Products!$B$7:$B$104,0)),"Unknown SKU"))</f>
        <v/>
      </c>
      <c r="E133" s="31"/>
      <c r="F133" s="31"/>
      <c r="G133" s="31"/>
      <c r="H133" s="38"/>
      <c r="I133" s="38"/>
      <c r="J133" s="36" t="str">
        <f aca="false">IF(OR(C133="",I133="",G133="Done"),"",I133-Settings!$C$9)</f>
        <v/>
      </c>
      <c r="K133" s="35" t="str">
        <f aca="false">IF(C133="","",IF(G133="Done","Done",IF(I133="","No due date",IF(I133&lt;Settings!$C$9,"Late",IF(I133-Settings!$C$9&lt;=Settings!$C$12,"Due soon","On track")))))</f>
        <v/>
      </c>
      <c r="L133" s="1"/>
    </row>
    <row r="134" customFormat="false" ht="21.75" hidden="false" customHeight="true" outlineLevel="0" collapsed="false">
      <c r="A134" s="1"/>
      <c r="B134" s="31"/>
      <c r="C134" s="31"/>
      <c r="D134" s="35" t="str">
        <f aca="false">IF(C134="","",IFERROR(INDEX(Products!$C$7:$C$104,MATCH(C134,Products!$B$7:$B$104,0)),"Unknown SKU"))</f>
        <v/>
      </c>
      <c r="E134" s="31"/>
      <c r="F134" s="31"/>
      <c r="G134" s="31"/>
      <c r="H134" s="38"/>
      <c r="I134" s="38"/>
      <c r="J134" s="36" t="str">
        <f aca="false">IF(OR(C134="",I134="",G134="Done"),"",I134-Settings!$C$9)</f>
        <v/>
      </c>
      <c r="K134" s="35" t="str">
        <f aca="false">IF(C134="","",IF(G134="Done","Done",IF(I134="","No due date",IF(I134&lt;Settings!$C$9,"Late",IF(I134-Settings!$C$9&lt;=Settings!$C$12,"Due soon","On track")))))</f>
        <v/>
      </c>
      <c r="L134" s="1"/>
    </row>
    <row r="135" customFormat="false" ht="21.75" hidden="false" customHeight="true" outlineLevel="0" collapsed="false">
      <c r="A135" s="1"/>
      <c r="B135" s="31"/>
      <c r="C135" s="31"/>
      <c r="D135" s="35" t="str">
        <f aca="false">IF(C135="","",IFERROR(INDEX(Products!$C$7:$C$104,MATCH(C135,Products!$B$7:$B$104,0)),"Unknown SKU"))</f>
        <v/>
      </c>
      <c r="E135" s="31"/>
      <c r="F135" s="31"/>
      <c r="G135" s="31"/>
      <c r="H135" s="38"/>
      <c r="I135" s="38"/>
      <c r="J135" s="36" t="str">
        <f aca="false">IF(OR(C135="",I135="",G135="Done"),"",I135-Settings!$C$9)</f>
        <v/>
      </c>
      <c r="K135" s="35" t="str">
        <f aca="false">IF(C135="","",IF(G135="Done","Done",IF(I135="","No due date",IF(I135&lt;Settings!$C$9,"Late",IF(I135-Settings!$C$9&lt;=Settings!$C$12,"Due soon","On track")))))</f>
        <v/>
      </c>
      <c r="L135" s="1"/>
    </row>
    <row r="136" customFormat="false" ht="21.75" hidden="false" customHeight="true" outlineLevel="0" collapsed="false">
      <c r="A136" s="1"/>
      <c r="B136" s="31"/>
      <c r="C136" s="31"/>
      <c r="D136" s="35" t="str">
        <f aca="false">IF(C136="","",IFERROR(INDEX(Products!$C$7:$C$104,MATCH(C136,Products!$B$7:$B$104,0)),"Unknown SKU"))</f>
        <v/>
      </c>
      <c r="E136" s="31"/>
      <c r="F136" s="31"/>
      <c r="G136" s="31"/>
      <c r="H136" s="38"/>
      <c r="I136" s="38"/>
      <c r="J136" s="36" t="str">
        <f aca="false">IF(OR(C136="",I136="",G136="Done"),"",I136-Settings!$C$9)</f>
        <v/>
      </c>
      <c r="K136" s="35" t="str">
        <f aca="false">IF(C136="","",IF(G136="Done","Done",IF(I136="","No due date",IF(I136&lt;Settings!$C$9,"Late",IF(I136-Settings!$C$9&lt;=Settings!$C$12,"Due soon","On track")))))</f>
        <v/>
      </c>
      <c r="L136" s="1"/>
    </row>
    <row r="137" customFormat="false" ht="21.75" hidden="false" customHeight="true" outlineLevel="0" collapsed="false">
      <c r="A137" s="1"/>
      <c r="B137" s="31"/>
      <c r="C137" s="31"/>
      <c r="D137" s="35" t="str">
        <f aca="false">IF(C137="","",IFERROR(INDEX(Products!$C$7:$C$104,MATCH(C137,Products!$B$7:$B$104,0)),"Unknown SKU"))</f>
        <v/>
      </c>
      <c r="E137" s="31"/>
      <c r="F137" s="31"/>
      <c r="G137" s="31"/>
      <c r="H137" s="38"/>
      <c r="I137" s="38"/>
      <c r="J137" s="36" t="str">
        <f aca="false">IF(OR(C137="",I137="",G137="Done"),"",I137-Settings!$C$9)</f>
        <v/>
      </c>
      <c r="K137" s="35" t="str">
        <f aca="false">IF(C137="","",IF(G137="Done","Done",IF(I137="","No due date",IF(I137&lt;Settings!$C$9,"Late",IF(I137-Settings!$C$9&lt;=Settings!$C$12,"Due soon","On track")))))</f>
        <v/>
      </c>
      <c r="L137" s="1"/>
    </row>
    <row r="138" customFormat="false" ht="21.75" hidden="false" customHeight="true" outlineLevel="0" collapsed="false">
      <c r="A138" s="1"/>
      <c r="B138" s="31"/>
      <c r="C138" s="31"/>
      <c r="D138" s="35" t="str">
        <f aca="false">IF(C138="","",IFERROR(INDEX(Products!$C$7:$C$104,MATCH(C138,Products!$B$7:$B$104,0)),"Unknown SKU"))</f>
        <v/>
      </c>
      <c r="E138" s="31"/>
      <c r="F138" s="31"/>
      <c r="G138" s="31"/>
      <c r="H138" s="38"/>
      <c r="I138" s="38"/>
      <c r="J138" s="36" t="str">
        <f aca="false">IF(OR(C138="",I138="",G138="Done"),"",I138-Settings!$C$9)</f>
        <v/>
      </c>
      <c r="K138" s="35" t="str">
        <f aca="false">IF(C138="","",IF(G138="Done","Done",IF(I138="","No due date",IF(I138&lt;Settings!$C$9,"Late",IF(I138-Settings!$C$9&lt;=Settings!$C$12,"Due soon","On track")))))</f>
        <v/>
      </c>
      <c r="L138" s="1"/>
    </row>
    <row r="139" customFormat="false" ht="21.75" hidden="false" customHeight="true" outlineLevel="0" collapsed="false">
      <c r="A139" s="1"/>
      <c r="B139" s="31"/>
      <c r="C139" s="31"/>
      <c r="D139" s="35" t="str">
        <f aca="false">IF(C139="","",IFERROR(INDEX(Products!$C$7:$C$104,MATCH(C139,Products!$B$7:$B$104,0)),"Unknown SKU"))</f>
        <v/>
      </c>
      <c r="E139" s="31"/>
      <c r="F139" s="31"/>
      <c r="G139" s="31"/>
      <c r="H139" s="38"/>
      <c r="I139" s="38"/>
      <c r="J139" s="36" t="str">
        <f aca="false">IF(OR(C139="",I139="",G139="Done"),"",I139-Settings!$C$9)</f>
        <v/>
      </c>
      <c r="K139" s="35" t="str">
        <f aca="false">IF(C139="","",IF(G139="Done","Done",IF(I139="","No due date",IF(I139&lt;Settings!$C$9,"Late",IF(I139-Settings!$C$9&lt;=Settings!$C$12,"Due soon","On track")))))</f>
        <v/>
      </c>
      <c r="L139" s="1"/>
    </row>
    <row r="140" customFormat="false" ht="21.75" hidden="false" customHeight="true" outlineLevel="0" collapsed="false">
      <c r="A140" s="1"/>
      <c r="B140" s="31"/>
      <c r="C140" s="31"/>
      <c r="D140" s="35" t="str">
        <f aca="false">IF(C140="","",IFERROR(INDEX(Products!$C$7:$C$104,MATCH(C140,Products!$B$7:$B$104,0)),"Unknown SKU"))</f>
        <v/>
      </c>
      <c r="E140" s="31"/>
      <c r="F140" s="31"/>
      <c r="G140" s="31"/>
      <c r="H140" s="38"/>
      <c r="I140" s="38"/>
      <c r="J140" s="36" t="str">
        <f aca="false">IF(OR(C140="",I140="",G140="Done"),"",I140-Settings!$C$9)</f>
        <v/>
      </c>
      <c r="K140" s="35" t="str">
        <f aca="false">IF(C140="","",IF(G140="Done","Done",IF(I140="","No due date",IF(I140&lt;Settings!$C$9,"Late",IF(I140-Settings!$C$9&lt;=Settings!$C$12,"Due soon","On track")))))</f>
        <v/>
      </c>
      <c r="L140" s="1"/>
    </row>
    <row r="141" customFormat="false" ht="21.75" hidden="false" customHeight="true" outlineLevel="0" collapsed="false">
      <c r="A141" s="1"/>
      <c r="B141" s="31"/>
      <c r="C141" s="31"/>
      <c r="D141" s="35" t="str">
        <f aca="false">IF(C141="","",IFERROR(INDEX(Products!$C$7:$C$104,MATCH(C141,Products!$B$7:$B$104,0)),"Unknown SKU"))</f>
        <v/>
      </c>
      <c r="E141" s="31"/>
      <c r="F141" s="31"/>
      <c r="G141" s="31"/>
      <c r="H141" s="38"/>
      <c r="I141" s="38"/>
      <c r="J141" s="36" t="str">
        <f aca="false">IF(OR(C141="",I141="",G141="Done"),"",I141-Settings!$C$9)</f>
        <v/>
      </c>
      <c r="K141" s="35" t="str">
        <f aca="false">IF(C141="","",IF(G141="Done","Done",IF(I141="","No due date",IF(I141&lt;Settings!$C$9,"Late",IF(I141-Settings!$C$9&lt;=Settings!$C$12,"Due soon","On track")))))</f>
        <v/>
      </c>
      <c r="L141" s="1"/>
    </row>
    <row r="142" customFormat="false" ht="21.75" hidden="false" customHeight="true" outlineLevel="0" collapsed="false">
      <c r="A142" s="1"/>
      <c r="B142" s="31"/>
      <c r="C142" s="31"/>
      <c r="D142" s="35" t="str">
        <f aca="false">IF(C142="","",IFERROR(INDEX(Products!$C$7:$C$104,MATCH(C142,Products!$B$7:$B$104,0)),"Unknown SKU"))</f>
        <v/>
      </c>
      <c r="E142" s="31"/>
      <c r="F142" s="31"/>
      <c r="G142" s="31"/>
      <c r="H142" s="38"/>
      <c r="I142" s="38"/>
      <c r="J142" s="36" t="str">
        <f aca="false">IF(OR(C142="",I142="",G142="Done"),"",I142-Settings!$C$9)</f>
        <v/>
      </c>
      <c r="K142" s="35" t="str">
        <f aca="false">IF(C142="","",IF(G142="Done","Done",IF(I142="","No due date",IF(I142&lt;Settings!$C$9,"Late",IF(I142-Settings!$C$9&lt;=Settings!$C$12,"Due soon","On track")))))</f>
        <v/>
      </c>
      <c r="L142" s="1"/>
    </row>
    <row r="143" customFormat="false" ht="21.75" hidden="false" customHeight="true" outlineLevel="0" collapsed="false">
      <c r="A143" s="1"/>
      <c r="B143" s="31"/>
      <c r="C143" s="31"/>
      <c r="D143" s="35" t="str">
        <f aca="false">IF(C143="","",IFERROR(INDEX(Products!$C$7:$C$104,MATCH(C143,Products!$B$7:$B$104,0)),"Unknown SKU"))</f>
        <v/>
      </c>
      <c r="E143" s="31"/>
      <c r="F143" s="31"/>
      <c r="G143" s="31"/>
      <c r="H143" s="38"/>
      <c r="I143" s="38"/>
      <c r="J143" s="36" t="str">
        <f aca="false">IF(OR(C143="",I143="",G143="Done"),"",I143-Settings!$C$9)</f>
        <v/>
      </c>
      <c r="K143" s="35" t="str">
        <f aca="false">IF(C143="","",IF(G143="Done","Done",IF(I143="","No due date",IF(I143&lt;Settings!$C$9,"Late",IF(I143-Settings!$C$9&lt;=Settings!$C$12,"Due soon","On track")))))</f>
        <v/>
      </c>
      <c r="L143" s="1"/>
    </row>
    <row r="144" customFormat="false" ht="21.75" hidden="false" customHeight="true" outlineLevel="0" collapsed="false">
      <c r="A144" s="1"/>
      <c r="B144" s="31"/>
      <c r="C144" s="31"/>
      <c r="D144" s="35" t="str">
        <f aca="false">IF(C144="","",IFERROR(INDEX(Products!$C$7:$C$104,MATCH(C144,Products!$B$7:$B$104,0)),"Unknown SKU"))</f>
        <v/>
      </c>
      <c r="E144" s="31"/>
      <c r="F144" s="31"/>
      <c r="G144" s="31"/>
      <c r="H144" s="38"/>
      <c r="I144" s="38"/>
      <c r="J144" s="36" t="str">
        <f aca="false">IF(OR(C144="",I144="",G144="Done"),"",I144-Settings!$C$9)</f>
        <v/>
      </c>
      <c r="K144" s="35" t="str">
        <f aca="false">IF(C144="","",IF(G144="Done","Done",IF(I144="","No due date",IF(I144&lt;Settings!$C$9,"Late",IF(I144-Settings!$C$9&lt;=Settings!$C$12,"Due soon","On track")))))</f>
        <v/>
      </c>
      <c r="L144" s="1"/>
    </row>
    <row r="145" customFormat="false" ht="21.75" hidden="false" customHeight="true" outlineLevel="0" collapsed="false">
      <c r="A145" s="1"/>
      <c r="B145" s="31"/>
      <c r="C145" s="31"/>
      <c r="D145" s="35" t="str">
        <f aca="false">IF(C145="","",IFERROR(INDEX(Products!$C$7:$C$104,MATCH(C145,Products!$B$7:$B$104,0)),"Unknown SKU"))</f>
        <v/>
      </c>
      <c r="E145" s="31"/>
      <c r="F145" s="31"/>
      <c r="G145" s="31"/>
      <c r="H145" s="38"/>
      <c r="I145" s="38"/>
      <c r="J145" s="36" t="str">
        <f aca="false">IF(OR(C145="",I145="",G145="Done"),"",I145-Settings!$C$9)</f>
        <v/>
      </c>
      <c r="K145" s="35" t="str">
        <f aca="false">IF(C145="","",IF(G145="Done","Done",IF(I145="","No due date",IF(I145&lt;Settings!$C$9,"Late",IF(I145-Settings!$C$9&lt;=Settings!$C$12,"Due soon","On track")))))</f>
        <v/>
      </c>
      <c r="L145" s="1"/>
    </row>
    <row r="146" customFormat="false" ht="21.75" hidden="false" customHeight="true" outlineLevel="0" collapsed="false">
      <c r="A146" s="1"/>
      <c r="B146" s="31"/>
      <c r="C146" s="31"/>
      <c r="D146" s="35" t="str">
        <f aca="false">IF(C146="","",IFERROR(INDEX(Products!$C$7:$C$104,MATCH(C146,Products!$B$7:$B$104,0)),"Unknown SKU"))</f>
        <v/>
      </c>
      <c r="E146" s="31"/>
      <c r="F146" s="31"/>
      <c r="G146" s="31"/>
      <c r="H146" s="38"/>
      <c r="I146" s="38"/>
      <c r="J146" s="36" t="str">
        <f aca="false">IF(OR(C146="",I146="",G146="Done"),"",I146-Settings!$C$9)</f>
        <v/>
      </c>
      <c r="K146" s="35" t="str">
        <f aca="false">IF(C146="","",IF(G146="Done","Done",IF(I146="","No due date",IF(I146&lt;Settings!$C$9,"Late",IF(I146-Settings!$C$9&lt;=Settings!$C$12,"Due soon","On track")))))</f>
        <v/>
      </c>
      <c r="L146" s="1"/>
    </row>
    <row r="147" customFormat="false" ht="21.75" hidden="false" customHeight="true" outlineLevel="0" collapsed="false">
      <c r="A147" s="1"/>
      <c r="B147" s="31"/>
      <c r="C147" s="31"/>
      <c r="D147" s="35" t="str">
        <f aca="false">IF(C147="","",IFERROR(INDEX(Products!$C$7:$C$104,MATCH(C147,Products!$B$7:$B$104,0)),"Unknown SKU"))</f>
        <v/>
      </c>
      <c r="E147" s="31"/>
      <c r="F147" s="31"/>
      <c r="G147" s="31"/>
      <c r="H147" s="38"/>
      <c r="I147" s="38"/>
      <c r="J147" s="36" t="str">
        <f aca="false">IF(OR(C147="",I147="",G147="Done"),"",I147-Settings!$C$9)</f>
        <v/>
      </c>
      <c r="K147" s="35" t="str">
        <f aca="false">IF(C147="","",IF(G147="Done","Done",IF(I147="","No due date",IF(I147&lt;Settings!$C$9,"Late",IF(I147-Settings!$C$9&lt;=Settings!$C$12,"Due soon","On track")))))</f>
        <v/>
      </c>
      <c r="L147" s="1"/>
    </row>
    <row r="148" customFormat="false" ht="21.75" hidden="false" customHeight="true" outlineLevel="0" collapsed="false">
      <c r="A148" s="1"/>
      <c r="B148" s="31"/>
      <c r="C148" s="31"/>
      <c r="D148" s="35" t="str">
        <f aca="false">IF(C148="","",IFERROR(INDEX(Products!$C$7:$C$104,MATCH(C148,Products!$B$7:$B$104,0)),"Unknown SKU"))</f>
        <v/>
      </c>
      <c r="E148" s="31"/>
      <c r="F148" s="31"/>
      <c r="G148" s="31"/>
      <c r="H148" s="38"/>
      <c r="I148" s="38"/>
      <c r="J148" s="36" t="str">
        <f aca="false">IF(OR(C148="",I148="",G148="Done"),"",I148-Settings!$C$9)</f>
        <v/>
      </c>
      <c r="K148" s="35" t="str">
        <f aca="false">IF(C148="","",IF(G148="Done","Done",IF(I148="","No due date",IF(I148&lt;Settings!$C$9,"Late",IF(I148-Settings!$C$9&lt;=Settings!$C$12,"Due soon","On track")))))</f>
        <v/>
      </c>
      <c r="L148" s="1"/>
    </row>
    <row r="149" customFormat="false" ht="21.75" hidden="false" customHeight="true" outlineLevel="0" collapsed="false">
      <c r="A149" s="1"/>
      <c r="B149" s="31"/>
      <c r="C149" s="31"/>
      <c r="D149" s="35" t="str">
        <f aca="false">IF(C149="","",IFERROR(INDEX(Products!$C$7:$C$104,MATCH(C149,Products!$B$7:$B$104,0)),"Unknown SKU"))</f>
        <v/>
      </c>
      <c r="E149" s="31"/>
      <c r="F149" s="31"/>
      <c r="G149" s="31"/>
      <c r="H149" s="38"/>
      <c r="I149" s="38"/>
      <c r="J149" s="36" t="str">
        <f aca="false">IF(OR(C149="",I149="",G149="Done"),"",I149-Settings!$C$9)</f>
        <v/>
      </c>
      <c r="K149" s="35" t="str">
        <f aca="false">IF(C149="","",IF(G149="Done","Done",IF(I149="","No due date",IF(I149&lt;Settings!$C$9,"Late",IF(I149-Settings!$C$9&lt;=Settings!$C$12,"Due soon","On track")))))</f>
        <v/>
      </c>
      <c r="L149" s="1"/>
    </row>
    <row r="150" customFormat="false" ht="21.75" hidden="false" customHeight="true" outlineLevel="0" collapsed="false">
      <c r="A150" s="1"/>
      <c r="B150" s="31"/>
      <c r="C150" s="31"/>
      <c r="D150" s="35" t="str">
        <f aca="false">IF(C150="","",IFERROR(INDEX(Products!$C$7:$C$104,MATCH(C150,Products!$B$7:$B$104,0)),"Unknown SKU"))</f>
        <v/>
      </c>
      <c r="E150" s="31"/>
      <c r="F150" s="31"/>
      <c r="G150" s="31"/>
      <c r="H150" s="38"/>
      <c r="I150" s="38"/>
      <c r="J150" s="36" t="str">
        <f aca="false">IF(OR(C150="",I150="",G150="Done"),"",I150-Settings!$C$9)</f>
        <v/>
      </c>
      <c r="K150" s="35" t="str">
        <f aca="false">IF(C150="","",IF(G150="Done","Done",IF(I150="","No due date",IF(I150&lt;Settings!$C$9,"Late",IF(I150-Settings!$C$9&lt;=Settings!$C$12,"Due soon","On track")))))</f>
        <v/>
      </c>
      <c r="L150" s="1"/>
    </row>
    <row r="151" customFormat="false" ht="21.75" hidden="false" customHeight="true" outlineLevel="0" collapsed="false">
      <c r="A151" s="1"/>
      <c r="B151" s="31"/>
      <c r="C151" s="31"/>
      <c r="D151" s="35" t="str">
        <f aca="false">IF(C151="","",IFERROR(INDEX(Products!$C$7:$C$104,MATCH(C151,Products!$B$7:$B$104,0)),"Unknown SKU"))</f>
        <v/>
      </c>
      <c r="E151" s="31"/>
      <c r="F151" s="31"/>
      <c r="G151" s="31"/>
      <c r="H151" s="38"/>
      <c r="I151" s="38"/>
      <c r="J151" s="36" t="str">
        <f aca="false">IF(OR(C151="",I151="",G151="Done"),"",I151-Settings!$C$9)</f>
        <v/>
      </c>
      <c r="K151" s="35" t="str">
        <f aca="false">IF(C151="","",IF(G151="Done","Done",IF(I151="","No due date",IF(I151&lt;Settings!$C$9,"Late",IF(I151-Settings!$C$9&lt;=Settings!$C$12,"Due soon","On track")))))</f>
        <v/>
      </c>
      <c r="L151" s="1"/>
    </row>
    <row r="152" customFormat="false" ht="21.75" hidden="false" customHeight="true" outlineLevel="0" collapsed="false">
      <c r="A152" s="1"/>
      <c r="B152" s="31"/>
      <c r="C152" s="31"/>
      <c r="D152" s="35" t="str">
        <f aca="false">IF(C152="","",IFERROR(INDEX(Products!$C$7:$C$104,MATCH(C152,Products!$B$7:$B$104,0)),"Unknown SKU"))</f>
        <v/>
      </c>
      <c r="E152" s="31"/>
      <c r="F152" s="31"/>
      <c r="G152" s="31"/>
      <c r="H152" s="38"/>
      <c r="I152" s="38"/>
      <c r="J152" s="36" t="str">
        <f aca="false">IF(OR(C152="",I152="",G152="Done"),"",I152-Settings!$C$9)</f>
        <v/>
      </c>
      <c r="K152" s="35" t="str">
        <f aca="false">IF(C152="","",IF(G152="Done","Done",IF(I152="","No due date",IF(I152&lt;Settings!$C$9,"Late",IF(I152-Settings!$C$9&lt;=Settings!$C$12,"Due soon","On track")))))</f>
        <v/>
      </c>
      <c r="L152" s="1"/>
    </row>
    <row r="153" customFormat="false" ht="21.75" hidden="false" customHeight="true" outlineLevel="0" collapsed="false">
      <c r="A153" s="1"/>
      <c r="B153" s="31"/>
      <c r="C153" s="31"/>
      <c r="D153" s="35" t="str">
        <f aca="false">IF(C153="","",IFERROR(INDEX(Products!$C$7:$C$104,MATCH(C153,Products!$B$7:$B$104,0)),"Unknown SKU"))</f>
        <v/>
      </c>
      <c r="E153" s="31"/>
      <c r="F153" s="31"/>
      <c r="G153" s="31"/>
      <c r="H153" s="38"/>
      <c r="I153" s="38"/>
      <c r="J153" s="36" t="str">
        <f aca="false">IF(OR(C153="",I153="",G153="Done"),"",I153-Settings!$C$9)</f>
        <v/>
      </c>
      <c r="K153" s="35" t="str">
        <f aca="false">IF(C153="","",IF(G153="Done","Done",IF(I153="","No due date",IF(I153&lt;Settings!$C$9,"Late",IF(I153-Settings!$C$9&lt;=Settings!$C$12,"Due soon","On track")))))</f>
        <v/>
      </c>
      <c r="L153" s="1"/>
    </row>
    <row r="154" customFormat="false" ht="21.75" hidden="false" customHeight="true" outlineLevel="0" collapsed="false">
      <c r="A154" s="1"/>
      <c r="B154" s="31"/>
      <c r="C154" s="31"/>
      <c r="D154" s="35" t="str">
        <f aca="false">IF(C154="","",IFERROR(INDEX(Products!$C$7:$C$104,MATCH(C154,Products!$B$7:$B$104,0)),"Unknown SKU"))</f>
        <v/>
      </c>
      <c r="E154" s="31"/>
      <c r="F154" s="31"/>
      <c r="G154" s="31"/>
      <c r="H154" s="38"/>
      <c r="I154" s="38"/>
      <c r="J154" s="36" t="str">
        <f aca="false">IF(OR(C154="",I154="",G154="Done"),"",I154-Settings!$C$9)</f>
        <v/>
      </c>
      <c r="K154" s="35" t="str">
        <f aca="false">IF(C154="","",IF(G154="Done","Done",IF(I154="","No due date",IF(I154&lt;Settings!$C$9,"Late",IF(I154-Settings!$C$9&lt;=Settings!$C$12,"Due soon","On track")))))</f>
        <v/>
      </c>
      <c r="L154" s="1"/>
    </row>
    <row r="155" customFormat="false" ht="21.75" hidden="false" customHeight="true" outlineLevel="0" collapsed="false">
      <c r="A155" s="1"/>
      <c r="B155" s="31"/>
      <c r="C155" s="31"/>
      <c r="D155" s="35" t="str">
        <f aca="false">IF(C155="","",IFERROR(INDEX(Products!$C$7:$C$104,MATCH(C155,Products!$B$7:$B$104,0)),"Unknown SKU"))</f>
        <v/>
      </c>
      <c r="E155" s="31"/>
      <c r="F155" s="31"/>
      <c r="G155" s="31"/>
      <c r="H155" s="38"/>
      <c r="I155" s="38"/>
      <c r="J155" s="36" t="str">
        <f aca="false">IF(OR(C155="",I155="",G155="Done"),"",I155-Settings!$C$9)</f>
        <v/>
      </c>
      <c r="K155" s="35" t="str">
        <f aca="false">IF(C155="","",IF(G155="Done","Done",IF(I155="","No due date",IF(I155&lt;Settings!$C$9,"Late",IF(I155-Settings!$C$9&lt;=Settings!$C$12,"Due soon","On track")))))</f>
        <v/>
      </c>
      <c r="L155" s="1"/>
    </row>
    <row r="156" customFormat="false" ht="21.75" hidden="false" customHeight="true" outlineLevel="0" collapsed="false">
      <c r="A156" s="1"/>
      <c r="B156" s="31"/>
      <c r="C156" s="31"/>
      <c r="D156" s="35" t="str">
        <f aca="false">IF(C156="","",IFERROR(INDEX(Products!$C$7:$C$104,MATCH(C156,Products!$B$7:$B$104,0)),"Unknown SKU"))</f>
        <v/>
      </c>
      <c r="E156" s="31"/>
      <c r="F156" s="31"/>
      <c r="G156" s="31"/>
      <c r="H156" s="38"/>
      <c r="I156" s="38"/>
      <c r="J156" s="36" t="str">
        <f aca="false">IF(OR(C156="",I156="",G156="Done"),"",I156-Settings!$C$9)</f>
        <v/>
      </c>
      <c r="K156" s="35" t="str">
        <f aca="false">IF(C156="","",IF(G156="Done","Done",IF(I156="","No due date",IF(I156&lt;Settings!$C$9,"Late",IF(I156-Settings!$C$9&lt;=Settings!$C$12,"Due soon","On track")))))</f>
        <v/>
      </c>
      <c r="L156" s="1"/>
    </row>
    <row r="157" customFormat="false" ht="21.75" hidden="false" customHeight="true" outlineLevel="0" collapsed="false">
      <c r="A157" s="1"/>
      <c r="B157" s="31"/>
      <c r="C157" s="31"/>
      <c r="D157" s="35" t="str">
        <f aca="false">IF(C157="","",IFERROR(INDEX(Products!$C$7:$C$104,MATCH(C157,Products!$B$7:$B$104,0)),"Unknown SKU"))</f>
        <v/>
      </c>
      <c r="E157" s="31"/>
      <c r="F157" s="31"/>
      <c r="G157" s="31"/>
      <c r="H157" s="38"/>
      <c r="I157" s="38"/>
      <c r="J157" s="36" t="str">
        <f aca="false">IF(OR(C157="",I157="",G157="Done"),"",I157-Settings!$C$9)</f>
        <v/>
      </c>
      <c r="K157" s="35" t="str">
        <f aca="false">IF(C157="","",IF(G157="Done","Done",IF(I157="","No due date",IF(I157&lt;Settings!$C$9,"Late",IF(I157-Settings!$C$9&lt;=Settings!$C$12,"Due soon","On track")))))</f>
        <v/>
      </c>
      <c r="L157" s="1"/>
    </row>
    <row r="158" customFormat="false" ht="21.75" hidden="false" customHeight="true" outlineLevel="0" collapsed="false">
      <c r="A158" s="1"/>
      <c r="B158" s="31"/>
      <c r="C158" s="31"/>
      <c r="D158" s="35" t="str">
        <f aca="false">IF(C158="","",IFERROR(INDEX(Products!$C$7:$C$104,MATCH(C158,Products!$B$7:$B$104,0)),"Unknown SKU"))</f>
        <v/>
      </c>
      <c r="E158" s="31"/>
      <c r="F158" s="31"/>
      <c r="G158" s="31"/>
      <c r="H158" s="38"/>
      <c r="I158" s="38"/>
      <c r="J158" s="36" t="str">
        <f aca="false">IF(OR(C158="",I158="",G158="Done"),"",I158-Settings!$C$9)</f>
        <v/>
      </c>
      <c r="K158" s="35" t="str">
        <f aca="false">IF(C158="","",IF(G158="Done","Done",IF(I158="","No due date",IF(I158&lt;Settings!$C$9,"Late",IF(I158-Settings!$C$9&lt;=Settings!$C$12,"Due soon","On track")))))</f>
        <v/>
      </c>
      <c r="L158" s="1"/>
    </row>
    <row r="159" customFormat="false" ht="21.75" hidden="false" customHeight="true" outlineLevel="0" collapsed="false">
      <c r="A159" s="1"/>
      <c r="B159" s="31"/>
      <c r="C159" s="31"/>
      <c r="D159" s="35" t="str">
        <f aca="false">IF(C159="","",IFERROR(INDEX(Products!$C$7:$C$104,MATCH(C159,Products!$B$7:$B$104,0)),"Unknown SKU"))</f>
        <v/>
      </c>
      <c r="E159" s="31"/>
      <c r="F159" s="31"/>
      <c r="G159" s="31"/>
      <c r="H159" s="38"/>
      <c r="I159" s="38"/>
      <c r="J159" s="36" t="str">
        <f aca="false">IF(OR(C159="",I159="",G159="Done"),"",I159-Settings!$C$9)</f>
        <v/>
      </c>
      <c r="K159" s="35" t="str">
        <f aca="false">IF(C159="","",IF(G159="Done","Done",IF(I159="","No due date",IF(I159&lt;Settings!$C$9,"Late",IF(I159-Settings!$C$9&lt;=Settings!$C$12,"Due soon","On track")))))</f>
        <v/>
      </c>
      <c r="L159" s="1"/>
    </row>
    <row r="160" customFormat="false" ht="21.75" hidden="false" customHeight="true" outlineLevel="0" collapsed="false">
      <c r="A160" s="1"/>
      <c r="B160" s="31"/>
      <c r="C160" s="31"/>
      <c r="D160" s="35" t="str">
        <f aca="false">IF(C160="","",IFERROR(INDEX(Products!$C$7:$C$104,MATCH(C160,Products!$B$7:$B$104,0)),"Unknown SKU"))</f>
        <v/>
      </c>
      <c r="E160" s="31"/>
      <c r="F160" s="31"/>
      <c r="G160" s="31"/>
      <c r="H160" s="38"/>
      <c r="I160" s="38"/>
      <c r="J160" s="36" t="str">
        <f aca="false">IF(OR(C160="",I160="",G160="Done"),"",I160-Settings!$C$9)</f>
        <v/>
      </c>
      <c r="K160" s="35" t="str">
        <f aca="false">IF(C160="","",IF(G160="Done","Done",IF(I160="","No due date",IF(I160&lt;Settings!$C$9,"Late",IF(I160-Settings!$C$9&lt;=Settings!$C$12,"Due soon","On track")))))</f>
        <v/>
      </c>
      <c r="L160" s="1"/>
    </row>
    <row r="161" customFormat="false" ht="21.75" hidden="false" customHeight="true" outlineLevel="0" collapsed="false">
      <c r="A161" s="1"/>
      <c r="B161" s="31"/>
      <c r="C161" s="31"/>
      <c r="D161" s="35" t="str">
        <f aca="false">IF(C161="","",IFERROR(INDEX(Products!$C$7:$C$104,MATCH(C161,Products!$B$7:$B$104,0)),"Unknown SKU"))</f>
        <v/>
      </c>
      <c r="E161" s="31"/>
      <c r="F161" s="31"/>
      <c r="G161" s="31"/>
      <c r="H161" s="38"/>
      <c r="I161" s="38"/>
      <c r="J161" s="36" t="str">
        <f aca="false">IF(OR(C161="",I161="",G161="Done"),"",I161-Settings!$C$9)</f>
        <v/>
      </c>
      <c r="K161" s="35" t="str">
        <f aca="false">IF(C161="","",IF(G161="Done","Done",IF(I161="","No due date",IF(I161&lt;Settings!$C$9,"Late",IF(I161-Settings!$C$9&lt;=Settings!$C$12,"Due soon","On track")))))</f>
        <v/>
      </c>
      <c r="L161" s="1"/>
    </row>
    <row r="162" customFormat="false" ht="21.75" hidden="false" customHeight="true" outlineLevel="0" collapsed="false">
      <c r="A162" s="1"/>
      <c r="B162" s="31"/>
      <c r="C162" s="31"/>
      <c r="D162" s="35" t="str">
        <f aca="false">IF(C162="","",IFERROR(INDEX(Products!$C$7:$C$104,MATCH(C162,Products!$B$7:$B$104,0)),"Unknown SKU"))</f>
        <v/>
      </c>
      <c r="E162" s="31"/>
      <c r="F162" s="31"/>
      <c r="G162" s="31"/>
      <c r="H162" s="38"/>
      <c r="I162" s="38"/>
      <c r="J162" s="36" t="str">
        <f aca="false">IF(OR(C162="",I162="",G162="Done"),"",I162-Settings!$C$9)</f>
        <v/>
      </c>
      <c r="K162" s="35" t="str">
        <f aca="false">IF(C162="","",IF(G162="Done","Done",IF(I162="","No due date",IF(I162&lt;Settings!$C$9,"Late",IF(I162-Settings!$C$9&lt;=Settings!$C$12,"Due soon","On track")))))</f>
        <v/>
      </c>
      <c r="L162" s="1"/>
    </row>
    <row r="163" customFormat="false" ht="21.75" hidden="false" customHeight="true" outlineLevel="0" collapsed="false">
      <c r="A163" s="1"/>
      <c r="B163" s="31"/>
      <c r="C163" s="31"/>
      <c r="D163" s="35" t="str">
        <f aca="false">IF(C163="","",IFERROR(INDEX(Products!$C$7:$C$104,MATCH(C163,Products!$B$7:$B$104,0)),"Unknown SKU"))</f>
        <v/>
      </c>
      <c r="E163" s="31"/>
      <c r="F163" s="31"/>
      <c r="G163" s="31"/>
      <c r="H163" s="38"/>
      <c r="I163" s="38"/>
      <c r="J163" s="36" t="str">
        <f aca="false">IF(OR(C163="",I163="",G163="Done"),"",I163-Settings!$C$9)</f>
        <v/>
      </c>
      <c r="K163" s="35" t="str">
        <f aca="false">IF(C163="","",IF(G163="Done","Done",IF(I163="","No due date",IF(I163&lt;Settings!$C$9,"Late",IF(I163-Settings!$C$9&lt;=Settings!$C$12,"Due soon","On track")))))</f>
        <v/>
      </c>
      <c r="L163" s="1"/>
    </row>
    <row r="164" customFormat="false" ht="21.75" hidden="false" customHeight="true" outlineLevel="0" collapsed="false">
      <c r="A164" s="1"/>
      <c r="B164" s="31"/>
      <c r="C164" s="31"/>
      <c r="D164" s="35" t="str">
        <f aca="false">IF(C164="","",IFERROR(INDEX(Products!$C$7:$C$104,MATCH(C164,Products!$B$7:$B$104,0)),"Unknown SKU"))</f>
        <v/>
      </c>
      <c r="E164" s="31"/>
      <c r="F164" s="31"/>
      <c r="G164" s="31"/>
      <c r="H164" s="38"/>
      <c r="I164" s="38"/>
      <c r="J164" s="36" t="str">
        <f aca="false">IF(OR(C164="",I164="",G164="Done"),"",I164-Settings!$C$9)</f>
        <v/>
      </c>
      <c r="K164" s="35" t="str">
        <f aca="false">IF(C164="","",IF(G164="Done","Done",IF(I164="","No due date",IF(I164&lt;Settings!$C$9,"Late",IF(I164-Settings!$C$9&lt;=Settings!$C$12,"Due soon","On track")))))</f>
        <v/>
      </c>
      <c r="L164" s="1"/>
    </row>
    <row r="165" customFormat="false" ht="21.75" hidden="false" customHeight="true" outlineLevel="0" collapsed="false">
      <c r="A165" s="1"/>
      <c r="B165" s="31"/>
      <c r="C165" s="31"/>
      <c r="D165" s="35" t="str">
        <f aca="false">IF(C165="","",IFERROR(INDEX(Products!$C$7:$C$104,MATCH(C165,Products!$B$7:$B$104,0)),"Unknown SKU"))</f>
        <v/>
      </c>
      <c r="E165" s="31"/>
      <c r="F165" s="31"/>
      <c r="G165" s="31"/>
      <c r="H165" s="38"/>
      <c r="I165" s="38"/>
      <c r="J165" s="36" t="str">
        <f aca="false">IF(OR(C165="",I165="",G165="Done"),"",I165-Settings!$C$9)</f>
        <v/>
      </c>
      <c r="K165" s="35" t="str">
        <f aca="false">IF(C165="","",IF(G165="Done","Done",IF(I165="","No due date",IF(I165&lt;Settings!$C$9,"Late",IF(I165-Settings!$C$9&lt;=Settings!$C$12,"Due soon","On track")))))</f>
        <v/>
      </c>
      <c r="L165" s="1"/>
    </row>
    <row r="166" customFormat="false" ht="21.75" hidden="false" customHeight="true" outlineLevel="0" collapsed="false">
      <c r="A166" s="1"/>
      <c r="B166" s="31"/>
      <c r="C166" s="31"/>
      <c r="D166" s="35" t="str">
        <f aca="false">IF(C166="","",IFERROR(INDEX(Products!$C$7:$C$104,MATCH(C166,Products!$B$7:$B$104,0)),"Unknown SKU"))</f>
        <v/>
      </c>
      <c r="E166" s="31"/>
      <c r="F166" s="31"/>
      <c r="G166" s="31"/>
      <c r="H166" s="38"/>
      <c r="I166" s="38"/>
      <c r="J166" s="36" t="str">
        <f aca="false">IF(OR(C166="",I166="",G166="Done"),"",I166-Settings!$C$9)</f>
        <v/>
      </c>
      <c r="K166" s="35" t="str">
        <f aca="false">IF(C166="","",IF(G166="Done","Done",IF(I166="","No due date",IF(I166&lt;Settings!$C$9,"Late",IF(I166-Settings!$C$9&lt;=Settings!$C$12,"Due soon","On track")))))</f>
        <v/>
      </c>
      <c r="L166" s="1"/>
    </row>
    <row r="167" customFormat="false" ht="21.75" hidden="false" customHeight="true" outlineLevel="0" collapsed="false">
      <c r="A167" s="1"/>
      <c r="B167" s="31"/>
      <c r="C167" s="31"/>
      <c r="D167" s="35" t="str">
        <f aca="false">IF(C167="","",IFERROR(INDEX(Products!$C$7:$C$104,MATCH(C167,Products!$B$7:$B$104,0)),"Unknown SKU"))</f>
        <v/>
      </c>
      <c r="E167" s="31"/>
      <c r="F167" s="31"/>
      <c r="G167" s="31"/>
      <c r="H167" s="38"/>
      <c r="I167" s="38"/>
      <c r="J167" s="36" t="str">
        <f aca="false">IF(OR(C167="",I167="",G167="Done"),"",I167-Settings!$C$9)</f>
        <v/>
      </c>
      <c r="K167" s="35" t="str">
        <f aca="false">IF(C167="","",IF(G167="Done","Done",IF(I167="","No due date",IF(I167&lt;Settings!$C$9,"Late",IF(I167-Settings!$C$9&lt;=Settings!$C$12,"Due soon","On track")))))</f>
        <v/>
      </c>
      <c r="L167" s="1"/>
    </row>
    <row r="168" customFormat="false" ht="21.75" hidden="false" customHeight="true" outlineLevel="0" collapsed="false">
      <c r="A168" s="1"/>
      <c r="B168" s="31"/>
      <c r="C168" s="31"/>
      <c r="D168" s="35" t="str">
        <f aca="false">IF(C168="","",IFERROR(INDEX(Products!$C$7:$C$104,MATCH(C168,Products!$B$7:$B$104,0)),"Unknown SKU"))</f>
        <v/>
      </c>
      <c r="E168" s="31"/>
      <c r="F168" s="31"/>
      <c r="G168" s="31"/>
      <c r="H168" s="38"/>
      <c r="I168" s="38"/>
      <c r="J168" s="36" t="str">
        <f aca="false">IF(OR(C168="",I168="",G168="Done"),"",I168-Settings!$C$9)</f>
        <v/>
      </c>
      <c r="K168" s="35" t="str">
        <f aca="false">IF(C168="","",IF(G168="Done","Done",IF(I168="","No due date",IF(I168&lt;Settings!$C$9,"Late",IF(I168-Settings!$C$9&lt;=Settings!$C$12,"Due soon","On track")))))</f>
        <v/>
      </c>
      <c r="L168" s="1"/>
    </row>
    <row r="169" customFormat="false" ht="21.75" hidden="false" customHeight="true" outlineLevel="0" collapsed="false">
      <c r="A169" s="1"/>
      <c r="B169" s="31"/>
      <c r="C169" s="31"/>
      <c r="D169" s="35" t="str">
        <f aca="false">IF(C169="","",IFERROR(INDEX(Products!$C$7:$C$104,MATCH(C169,Products!$B$7:$B$104,0)),"Unknown SKU"))</f>
        <v/>
      </c>
      <c r="E169" s="31"/>
      <c r="F169" s="31"/>
      <c r="G169" s="31"/>
      <c r="H169" s="38"/>
      <c r="I169" s="38"/>
      <c r="J169" s="36" t="str">
        <f aca="false">IF(OR(C169="",I169="",G169="Done"),"",I169-Settings!$C$9)</f>
        <v/>
      </c>
      <c r="K169" s="35" t="str">
        <f aca="false">IF(C169="","",IF(G169="Done","Done",IF(I169="","No due date",IF(I169&lt;Settings!$C$9,"Late",IF(I169-Settings!$C$9&lt;=Settings!$C$12,"Due soon","On track")))))</f>
        <v/>
      </c>
      <c r="L169" s="1"/>
    </row>
    <row r="170" customFormat="false" ht="21.75" hidden="false" customHeight="true" outlineLevel="0" collapsed="false">
      <c r="A170" s="1"/>
      <c r="B170" s="31"/>
      <c r="C170" s="31"/>
      <c r="D170" s="35" t="str">
        <f aca="false">IF(C170="","",IFERROR(INDEX(Products!$C$7:$C$104,MATCH(C170,Products!$B$7:$B$104,0)),"Unknown SKU"))</f>
        <v/>
      </c>
      <c r="E170" s="31"/>
      <c r="F170" s="31"/>
      <c r="G170" s="31"/>
      <c r="H170" s="38"/>
      <c r="I170" s="38"/>
      <c r="J170" s="36" t="str">
        <f aca="false">IF(OR(C170="",I170="",G170="Done"),"",I170-Settings!$C$9)</f>
        <v/>
      </c>
      <c r="K170" s="35" t="str">
        <f aca="false">IF(C170="","",IF(G170="Done","Done",IF(I170="","No due date",IF(I170&lt;Settings!$C$9,"Late",IF(I170-Settings!$C$9&lt;=Settings!$C$12,"Due soon","On track")))))</f>
        <v/>
      </c>
      <c r="L170" s="1"/>
    </row>
    <row r="171" customFormat="false" ht="21.75" hidden="false" customHeight="true" outlineLevel="0" collapsed="false">
      <c r="A171" s="1"/>
      <c r="B171" s="31"/>
      <c r="C171" s="31"/>
      <c r="D171" s="35" t="str">
        <f aca="false">IF(C171="","",IFERROR(INDEX(Products!$C$7:$C$104,MATCH(C171,Products!$B$7:$B$104,0)),"Unknown SKU"))</f>
        <v/>
      </c>
      <c r="E171" s="31"/>
      <c r="F171" s="31"/>
      <c r="G171" s="31"/>
      <c r="H171" s="38"/>
      <c r="I171" s="38"/>
      <c r="J171" s="36" t="str">
        <f aca="false">IF(OR(C171="",I171="",G171="Done"),"",I171-Settings!$C$9)</f>
        <v/>
      </c>
      <c r="K171" s="35" t="str">
        <f aca="false">IF(C171="","",IF(G171="Done","Done",IF(I171="","No due date",IF(I171&lt;Settings!$C$9,"Late",IF(I171-Settings!$C$9&lt;=Settings!$C$12,"Due soon","On track")))))</f>
        <v/>
      </c>
      <c r="L171" s="1"/>
    </row>
    <row r="172" customFormat="false" ht="21.75" hidden="false" customHeight="true" outlineLevel="0" collapsed="false">
      <c r="A172" s="1"/>
      <c r="B172" s="31"/>
      <c r="C172" s="31"/>
      <c r="D172" s="35" t="str">
        <f aca="false">IF(C172="","",IFERROR(INDEX(Products!$C$7:$C$104,MATCH(C172,Products!$B$7:$B$104,0)),"Unknown SKU"))</f>
        <v/>
      </c>
      <c r="E172" s="31"/>
      <c r="F172" s="31"/>
      <c r="G172" s="31"/>
      <c r="H172" s="38"/>
      <c r="I172" s="38"/>
      <c r="J172" s="36" t="str">
        <f aca="false">IF(OR(C172="",I172="",G172="Done"),"",I172-Settings!$C$9)</f>
        <v/>
      </c>
      <c r="K172" s="35" t="str">
        <f aca="false">IF(C172="","",IF(G172="Done","Done",IF(I172="","No due date",IF(I172&lt;Settings!$C$9,"Late",IF(I172-Settings!$C$9&lt;=Settings!$C$12,"Due soon","On track")))))</f>
        <v/>
      </c>
      <c r="L172" s="1"/>
    </row>
    <row r="173" customFormat="false" ht="21.75" hidden="false" customHeight="true" outlineLevel="0" collapsed="false">
      <c r="A173" s="1"/>
      <c r="B173" s="31"/>
      <c r="C173" s="31"/>
      <c r="D173" s="35" t="str">
        <f aca="false">IF(C173="","",IFERROR(INDEX(Products!$C$7:$C$104,MATCH(C173,Products!$B$7:$B$104,0)),"Unknown SKU"))</f>
        <v/>
      </c>
      <c r="E173" s="31"/>
      <c r="F173" s="31"/>
      <c r="G173" s="31"/>
      <c r="H173" s="38"/>
      <c r="I173" s="38"/>
      <c r="J173" s="36" t="str">
        <f aca="false">IF(OR(C173="",I173="",G173="Done"),"",I173-Settings!$C$9)</f>
        <v/>
      </c>
      <c r="K173" s="35" t="str">
        <f aca="false">IF(C173="","",IF(G173="Done","Done",IF(I173="","No due date",IF(I173&lt;Settings!$C$9,"Late",IF(I173-Settings!$C$9&lt;=Settings!$C$12,"Due soon","On track")))))</f>
        <v/>
      </c>
      <c r="L173" s="1"/>
    </row>
    <row r="174" customFormat="false" ht="21.75" hidden="false" customHeight="true" outlineLevel="0" collapsed="false">
      <c r="A174" s="1"/>
      <c r="B174" s="31"/>
      <c r="C174" s="31"/>
      <c r="D174" s="35" t="str">
        <f aca="false">IF(C174="","",IFERROR(INDEX(Products!$C$7:$C$104,MATCH(C174,Products!$B$7:$B$104,0)),"Unknown SKU"))</f>
        <v/>
      </c>
      <c r="E174" s="31"/>
      <c r="F174" s="31"/>
      <c r="G174" s="31"/>
      <c r="H174" s="38"/>
      <c r="I174" s="38"/>
      <c r="J174" s="36" t="str">
        <f aca="false">IF(OR(C174="",I174="",G174="Done"),"",I174-Settings!$C$9)</f>
        <v/>
      </c>
      <c r="K174" s="35" t="str">
        <f aca="false">IF(C174="","",IF(G174="Done","Done",IF(I174="","No due date",IF(I174&lt;Settings!$C$9,"Late",IF(I174-Settings!$C$9&lt;=Settings!$C$12,"Due soon","On track")))))</f>
        <v/>
      </c>
      <c r="L174" s="1"/>
    </row>
    <row r="175" customFormat="false" ht="21.75" hidden="false" customHeight="true" outlineLevel="0" collapsed="false">
      <c r="A175" s="1"/>
      <c r="B175" s="31"/>
      <c r="C175" s="31"/>
      <c r="D175" s="35" t="str">
        <f aca="false">IF(C175="","",IFERROR(INDEX(Products!$C$7:$C$104,MATCH(C175,Products!$B$7:$B$104,0)),"Unknown SKU"))</f>
        <v/>
      </c>
      <c r="E175" s="31"/>
      <c r="F175" s="31"/>
      <c r="G175" s="31"/>
      <c r="H175" s="38"/>
      <c r="I175" s="38"/>
      <c r="J175" s="36" t="str">
        <f aca="false">IF(OR(C175="",I175="",G175="Done"),"",I175-Settings!$C$9)</f>
        <v/>
      </c>
      <c r="K175" s="35" t="str">
        <f aca="false">IF(C175="","",IF(G175="Done","Done",IF(I175="","No due date",IF(I175&lt;Settings!$C$9,"Late",IF(I175-Settings!$C$9&lt;=Settings!$C$12,"Due soon","On track")))))</f>
        <v/>
      </c>
      <c r="L175" s="1"/>
    </row>
    <row r="176" customFormat="false" ht="21.75" hidden="false" customHeight="true" outlineLevel="0" collapsed="false">
      <c r="A176" s="1"/>
      <c r="B176" s="31"/>
      <c r="C176" s="31"/>
      <c r="D176" s="35" t="str">
        <f aca="false">IF(C176="","",IFERROR(INDEX(Products!$C$7:$C$104,MATCH(C176,Products!$B$7:$B$104,0)),"Unknown SKU"))</f>
        <v/>
      </c>
      <c r="E176" s="31"/>
      <c r="F176" s="31"/>
      <c r="G176" s="31"/>
      <c r="H176" s="38"/>
      <c r="I176" s="38"/>
      <c r="J176" s="36" t="str">
        <f aca="false">IF(OR(C176="",I176="",G176="Done"),"",I176-Settings!$C$9)</f>
        <v/>
      </c>
      <c r="K176" s="35" t="str">
        <f aca="false">IF(C176="","",IF(G176="Done","Done",IF(I176="","No due date",IF(I176&lt;Settings!$C$9,"Late",IF(I176-Settings!$C$9&lt;=Settings!$C$12,"Due soon","On track")))))</f>
        <v/>
      </c>
      <c r="L176" s="1"/>
    </row>
    <row r="177" customFormat="false" ht="21.75" hidden="false" customHeight="true" outlineLevel="0" collapsed="false">
      <c r="A177" s="1"/>
      <c r="B177" s="31"/>
      <c r="C177" s="31"/>
      <c r="D177" s="35" t="str">
        <f aca="false">IF(C177="","",IFERROR(INDEX(Products!$C$7:$C$104,MATCH(C177,Products!$B$7:$B$104,0)),"Unknown SKU"))</f>
        <v/>
      </c>
      <c r="E177" s="31"/>
      <c r="F177" s="31"/>
      <c r="G177" s="31"/>
      <c r="H177" s="38"/>
      <c r="I177" s="38"/>
      <c r="J177" s="36" t="str">
        <f aca="false">IF(OR(C177="",I177="",G177="Done"),"",I177-Settings!$C$9)</f>
        <v/>
      </c>
      <c r="K177" s="35" t="str">
        <f aca="false">IF(C177="","",IF(G177="Done","Done",IF(I177="","No due date",IF(I177&lt;Settings!$C$9,"Late",IF(I177-Settings!$C$9&lt;=Settings!$C$12,"Due soon","On track")))))</f>
        <v/>
      </c>
      <c r="L177" s="1"/>
    </row>
    <row r="178" customFormat="false" ht="21.75" hidden="false" customHeight="true" outlineLevel="0" collapsed="false">
      <c r="A178" s="1"/>
      <c r="B178" s="31"/>
      <c r="C178" s="31"/>
      <c r="D178" s="35" t="str">
        <f aca="false">IF(C178="","",IFERROR(INDEX(Products!$C$7:$C$104,MATCH(C178,Products!$B$7:$B$104,0)),"Unknown SKU"))</f>
        <v/>
      </c>
      <c r="E178" s="31"/>
      <c r="F178" s="31"/>
      <c r="G178" s="31"/>
      <c r="H178" s="38"/>
      <c r="I178" s="38"/>
      <c r="J178" s="36" t="str">
        <f aca="false">IF(OR(C178="",I178="",G178="Done"),"",I178-Settings!$C$9)</f>
        <v/>
      </c>
      <c r="K178" s="35" t="str">
        <f aca="false">IF(C178="","",IF(G178="Done","Done",IF(I178="","No due date",IF(I178&lt;Settings!$C$9,"Late",IF(I178-Settings!$C$9&lt;=Settings!$C$12,"Due soon","On track")))))</f>
        <v/>
      </c>
      <c r="L178" s="1"/>
    </row>
    <row r="179" customFormat="false" ht="21.75" hidden="false" customHeight="true" outlineLevel="0" collapsed="false">
      <c r="A179" s="1"/>
      <c r="B179" s="31"/>
      <c r="C179" s="31"/>
      <c r="D179" s="35" t="str">
        <f aca="false">IF(C179="","",IFERROR(INDEX(Products!$C$7:$C$104,MATCH(C179,Products!$B$7:$B$104,0)),"Unknown SKU"))</f>
        <v/>
      </c>
      <c r="E179" s="31"/>
      <c r="F179" s="31"/>
      <c r="G179" s="31"/>
      <c r="H179" s="38"/>
      <c r="I179" s="38"/>
      <c r="J179" s="36" t="str">
        <f aca="false">IF(OR(C179="",I179="",G179="Done"),"",I179-Settings!$C$9)</f>
        <v/>
      </c>
      <c r="K179" s="35" t="str">
        <f aca="false">IF(C179="","",IF(G179="Done","Done",IF(I179="","No due date",IF(I179&lt;Settings!$C$9,"Late",IF(I179-Settings!$C$9&lt;=Settings!$C$12,"Due soon","On track")))))</f>
        <v/>
      </c>
      <c r="L179" s="1"/>
    </row>
    <row r="180" customFormat="false" ht="21.75" hidden="false" customHeight="true" outlineLevel="0" collapsed="false">
      <c r="A180" s="1"/>
      <c r="B180" s="31"/>
      <c r="C180" s="31"/>
      <c r="D180" s="35" t="str">
        <f aca="false">IF(C180="","",IFERROR(INDEX(Products!$C$7:$C$104,MATCH(C180,Products!$B$7:$B$104,0)),"Unknown SKU"))</f>
        <v/>
      </c>
      <c r="E180" s="31"/>
      <c r="F180" s="31"/>
      <c r="G180" s="31"/>
      <c r="H180" s="38"/>
      <c r="I180" s="38"/>
      <c r="J180" s="36" t="str">
        <f aca="false">IF(OR(C180="",I180="",G180="Done"),"",I180-Settings!$C$9)</f>
        <v/>
      </c>
      <c r="K180" s="35" t="str">
        <f aca="false">IF(C180="","",IF(G180="Done","Done",IF(I180="","No due date",IF(I180&lt;Settings!$C$9,"Late",IF(I180-Settings!$C$9&lt;=Settings!$C$12,"Due soon","On track")))))</f>
        <v/>
      </c>
      <c r="L180" s="1"/>
    </row>
    <row r="181" customFormat="false" ht="21.75" hidden="false" customHeight="true" outlineLevel="0" collapsed="false">
      <c r="A181" s="1"/>
      <c r="B181" s="31"/>
      <c r="C181" s="31"/>
      <c r="D181" s="35" t="str">
        <f aca="false">IF(C181="","",IFERROR(INDEX(Products!$C$7:$C$104,MATCH(C181,Products!$B$7:$B$104,0)),"Unknown SKU"))</f>
        <v/>
      </c>
      <c r="E181" s="31"/>
      <c r="F181" s="31"/>
      <c r="G181" s="31"/>
      <c r="H181" s="38"/>
      <c r="I181" s="38"/>
      <c r="J181" s="36" t="str">
        <f aca="false">IF(OR(C181="",I181="",G181="Done"),"",I181-Settings!$C$9)</f>
        <v/>
      </c>
      <c r="K181" s="35" t="str">
        <f aca="false">IF(C181="","",IF(G181="Done","Done",IF(I181="","No due date",IF(I181&lt;Settings!$C$9,"Late",IF(I181-Settings!$C$9&lt;=Settings!$C$12,"Due soon","On track")))))</f>
        <v/>
      </c>
      <c r="L181" s="1"/>
    </row>
    <row r="182" customFormat="false" ht="21.75" hidden="false" customHeight="true" outlineLevel="0" collapsed="false">
      <c r="A182" s="1"/>
      <c r="B182" s="31"/>
      <c r="C182" s="31"/>
      <c r="D182" s="35" t="str">
        <f aca="false">IF(C182="","",IFERROR(INDEX(Products!$C$7:$C$104,MATCH(C182,Products!$B$7:$B$104,0)),"Unknown SKU"))</f>
        <v/>
      </c>
      <c r="E182" s="31"/>
      <c r="F182" s="31"/>
      <c r="G182" s="31"/>
      <c r="H182" s="38"/>
      <c r="I182" s="38"/>
      <c r="J182" s="36" t="str">
        <f aca="false">IF(OR(C182="",I182="",G182="Done"),"",I182-Settings!$C$9)</f>
        <v/>
      </c>
      <c r="K182" s="35" t="str">
        <f aca="false">IF(C182="","",IF(G182="Done","Done",IF(I182="","No due date",IF(I182&lt;Settings!$C$9,"Late",IF(I182-Settings!$C$9&lt;=Settings!$C$12,"Due soon","On track")))))</f>
        <v/>
      </c>
      <c r="L182" s="1"/>
    </row>
    <row r="183" customFormat="false" ht="21.75" hidden="false" customHeight="true" outlineLevel="0" collapsed="false">
      <c r="A183" s="1"/>
      <c r="B183" s="31"/>
      <c r="C183" s="31"/>
      <c r="D183" s="35" t="str">
        <f aca="false">IF(C183="","",IFERROR(INDEX(Products!$C$7:$C$104,MATCH(C183,Products!$B$7:$B$104,0)),"Unknown SKU"))</f>
        <v/>
      </c>
      <c r="E183" s="31"/>
      <c r="F183" s="31"/>
      <c r="G183" s="31"/>
      <c r="H183" s="38"/>
      <c r="I183" s="38"/>
      <c r="J183" s="36" t="str">
        <f aca="false">IF(OR(C183="",I183="",G183="Done"),"",I183-Settings!$C$9)</f>
        <v/>
      </c>
      <c r="K183" s="35" t="str">
        <f aca="false">IF(C183="","",IF(G183="Done","Done",IF(I183="","No due date",IF(I183&lt;Settings!$C$9,"Late",IF(I183-Settings!$C$9&lt;=Settings!$C$12,"Due soon","On track")))))</f>
        <v/>
      </c>
      <c r="L183" s="1"/>
    </row>
    <row r="184" customFormat="false" ht="21.75" hidden="false" customHeight="true" outlineLevel="0" collapsed="false">
      <c r="A184" s="1"/>
      <c r="B184" s="31"/>
      <c r="C184" s="31"/>
      <c r="D184" s="35" t="str">
        <f aca="false">IF(C184="","",IFERROR(INDEX(Products!$C$7:$C$104,MATCH(C184,Products!$B$7:$B$104,0)),"Unknown SKU"))</f>
        <v/>
      </c>
      <c r="E184" s="31"/>
      <c r="F184" s="31"/>
      <c r="G184" s="31"/>
      <c r="H184" s="38"/>
      <c r="I184" s="38"/>
      <c r="J184" s="36" t="str">
        <f aca="false">IF(OR(C184="",I184="",G184="Done"),"",I184-Settings!$C$9)</f>
        <v/>
      </c>
      <c r="K184" s="35" t="str">
        <f aca="false">IF(C184="","",IF(G184="Done","Done",IF(I184="","No due date",IF(I184&lt;Settings!$C$9,"Late",IF(I184-Settings!$C$9&lt;=Settings!$C$12,"Due soon","On track")))))</f>
        <v/>
      </c>
      <c r="L184" s="1"/>
    </row>
    <row r="185" customFormat="false" ht="21.75" hidden="false" customHeight="true" outlineLevel="0" collapsed="false">
      <c r="A185" s="1"/>
      <c r="B185" s="31"/>
      <c r="C185" s="31"/>
      <c r="D185" s="35" t="str">
        <f aca="false">IF(C185="","",IFERROR(INDEX(Products!$C$7:$C$104,MATCH(C185,Products!$B$7:$B$104,0)),"Unknown SKU"))</f>
        <v/>
      </c>
      <c r="E185" s="31"/>
      <c r="F185" s="31"/>
      <c r="G185" s="31"/>
      <c r="H185" s="38"/>
      <c r="I185" s="38"/>
      <c r="J185" s="36" t="str">
        <f aca="false">IF(OR(C185="",I185="",G185="Done"),"",I185-Settings!$C$9)</f>
        <v/>
      </c>
      <c r="K185" s="35" t="str">
        <f aca="false">IF(C185="","",IF(G185="Done","Done",IF(I185="","No due date",IF(I185&lt;Settings!$C$9,"Late",IF(I185-Settings!$C$9&lt;=Settings!$C$12,"Due soon","On track")))))</f>
        <v/>
      </c>
      <c r="L185" s="1"/>
    </row>
    <row r="186" customFormat="false" ht="21.75" hidden="false" customHeight="true" outlineLevel="0" collapsed="false">
      <c r="A186" s="1"/>
      <c r="B186" s="31"/>
      <c r="C186" s="31"/>
      <c r="D186" s="35" t="str">
        <f aca="false">IF(C186="","",IFERROR(INDEX(Products!$C$7:$C$104,MATCH(C186,Products!$B$7:$B$104,0)),"Unknown SKU"))</f>
        <v/>
      </c>
      <c r="E186" s="31"/>
      <c r="F186" s="31"/>
      <c r="G186" s="31"/>
      <c r="H186" s="38"/>
      <c r="I186" s="38"/>
      <c r="J186" s="36" t="str">
        <f aca="false">IF(OR(C186="",I186="",G186="Done"),"",I186-Settings!$C$9)</f>
        <v/>
      </c>
      <c r="K186" s="35" t="str">
        <f aca="false">IF(C186="","",IF(G186="Done","Done",IF(I186="","No due date",IF(I186&lt;Settings!$C$9,"Late",IF(I186-Settings!$C$9&lt;=Settings!$C$12,"Due soon","On track")))))</f>
        <v/>
      </c>
      <c r="L186" s="1"/>
    </row>
    <row r="187" customFormat="false" ht="21.75" hidden="false" customHeight="true" outlineLevel="0" collapsed="false">
      <c r="A187" s="1"/>
      <c r="B187" s="31"/>
      <c r="C187" s="31"/>
      <c r="D187" s="35" t="str">
        <f aca="false">IF(C187="","",IFERROR(INDEX(Products!$C$7:$C$104,MATCH(C187,Products!$B$7:$B$104,0)),"Unknown SKU"))</f>
        <v/>
      </c>
      <c r="E187" s="31"/>
      <c r="F187" s="31"/>
      <c r="G187" s="31"/>
      <c r="H187" s="38"/>
      <c r="I187" s="38"/>
      <c r="J187" s="36" t="str">
        <f aca="false">IF(OR(C187="",I187="",G187="Done"),"",I187-Settings!$C$9)</f>
        <v/>
      </c>
      <c r="K187" s="35" t="str">
        <f aca="false">IF(C187="","",IF(G187="Done","Done",IF(I187="","No due date",IF(I187&lt;Settings!$C$9,"Late",IF(I187-Settings!$C$9&lt;=Settings!$C$12,"Due soon","On track")))))</f>
        <v/>
      </c>
      <c r="L187" s="1"/>
    </row>
    <row r="188" customFormat="false" ht="21.75" hidden="false" customHeight="true" outlineLevel="0" collapsed="false">
      <c r="A188" s="1"/>
      <c r="B188" s="31"/>
      <c r="C188" s="31"/>
      <c r="D188" s="35" t="str">
        <f aca="false">IF(C188="","",IFERROR(INDEX(Products!$C$7:$C$104,MATCH(C188,Products!$B$7:$B$104,0)),"Unknown SKU"))</f>
        <v/>
      </c>
      <c r="E188" s="31"/>
      <c r="F188" s="31"/>
      <c r="G188" s="31"/>
      <c r="H188" s="38"/>
      <c r="I188" s="38"/>
      <c r="J188" s="36" t="str">
        <f aca="false">IF(OR(C188="",I188="",G188="Done"),"",I188-Settings!$C$9)</f>
        <v/>
      </c>
      <c r="K188" s="35" t="str">
        <f aca="false">IF(C188="","",IF(G188="Done","Done",IF(I188="","No due date",IF(I188&lt;Settings!$C$9,"Late",IF(I188-Settings!$C$9&lt;=Settings!$C$12,"Due soon","On track")))))</f>
        <v/>
      </c>
      <c r="L188" s="1"/>
    </row>
    <row r="189" customFormat="false" ht="21.75" hidden="false" customHeight="true" outlineLevel="0" collapsed="false">
      <c r="A189" s="1"/>
      <c r="B189" s="31"/>
      <c r="C189" s="31"/>
      <c r="D189" s="35" t="str">
        <f aca="false">IF(C189="","",IFERROR(INDEX(Products!$C$7:$C$104,MATCH(C189,Products!$B$7:$B$104,0)),"Unknown SKU"))</f>
        <v/>
      </c>
      <c r="E189" s="31"/>
      <c r="F189" s="31"/>
      <c r="G189" s="31"/>
      <c r="H189" s="38"/>
      <c r="I189" s="38"/>
      <c r="J189" s="36" t="str">
        <f aca="false">IF(OR(C189="",I189="",G189="Done"),"",I189-Settings!$C$9)</f>
        <v/>
      </c>
      <c r="K189" s="35" t="str">
        <f aca="false">IF(C189="","",IF(G189="Done","Done",IF(I189="","No due date",IF(I189&lt;Settings!$C$9,"Late",IF(I189-Settings!$C$9&lt;=Settings!$C$12,"Due soon","On track")))))</f>
        <v/>
      </c>
      <c r="L189" s="1"/>
    </row>
    <row r="190" customFormat="false" ht="21.75" hidden="false" customHeight="true" outlineLevel="0" collapsed="false">
      <c r="A190" s="1"/>
      <c r="B190" s="31"/>
      <c r="C190" s="31"/>
      <c r="D190" s="35" t="str">
        <f aca="false">IF(C190="","",IFERROR(INDEX(Products!$C$7:$C$104,MATCH(C190,Products!$B$7:$B$104,0)),"Unknown SKU"))</f>
        <v/>
      </c>
      <c r="E190" s="31"/>
      <c r="F190" s="31"/>
      <c r="G190" s="31"/>
      <c r="H190" s="38"/>
      <c r="I190" s="38"/>
      <c r="J190" s="36" t="str">
        <f aca="false">IF(OR(C190="",I190="",G190="Done"),"",I190-Settings!$C$9)</f>
        <v/>
      </c>
      <c r="K190" s="35" t="str">
        <f aca="false">IF(C190="","",IF(G190="Done","Done",IF(I190="","No due date",IF(I190&lt;Settings!$C$9,"Late",IF(I190-Settings!$C$9&lt;=Settings!$C$12,"Due soon","On track")))))</f>
        <v/>
      </c>
      <c r="L190" s="1"/>
    </row>
    <row r="191" customFormat="false" ht="21.75" hidden="false" customHeight="true" outlineLevel="0" collapsed="false">
      <c r="A191" s="1"/>
      <c r="B191" s="31"/>
      <c r="C191" s="31"/>
      <c r="D191" s="35" t="str">
        <f aca="false">IF(C191="","",IFERROR(INDEX(Products!$C$7:$C$104,MATCH(C191,Products!$B$7:$B$104,0)),"Unknown SKU"))</f>
        <v/>
      </c>
      <c r="E191" s="31"/>
      <c r="F191" s="31"/>
      <c r="G191" s="31"/>
      <c r="H191" s="38"/>
      <c r="I191" s="38"/>
      <c r="J191" s="36" t="str">
        <f aca="false">IF(OR(C191="",I191="",G191="Done"),"",I191-Settings!$C$9)</f>
        <v/>
      </c>
      <c r="K191" s="35" t="str">
        <f aca="false">IF(C191="","",IF(G191="Done","Done",IF(I191="","No due date",IF(I191&lt;Settings!$C$9,"Late",IF(I191-Settings!$C$9&lt;=Settings!$C$12,"Due soon","On track")))))</f>
        <v/>
      </c>
      <c r="L191" s="1"/>
    </row>
    <row r="192" customFormat="false" ht="21.75" hidden="false" customHeight="true" outlineLevel="0" collapsed="false">
      <c r="A192" s="1"/>
      <c r="B192" s="31"/>
      <c r="C192" s="31"/>
      <c r="D192" s="35" t="str">
        <f aca="false">IF(C192="","",IFERROR(INDEX(Products!$C$7:$C$104,MATCH(C192,Products!$B$7:$B$104,0)),"Unknown SKU"))</f>
        <v/>
      </c>
      <c r="E192" s="31"/>
      <c r="F192" s="31"/>
      <c r="G192" s="31"/>
      <c r="H192" s="38"/>
      <c r="I192" s="38"/>
      <c r="J192" s="36" t="str">
        <f aca="false">IF(OR(C192="",I192="",G192="Done"),"",I192-Settings!$C$9)</f>
        <v/>
      </c>
      <c r="K192" s="35" t="str">
        <f aca="false">IF(C192="","",IF(G192="Done","Done",IF(I192="","No due date",IF(I192&lt;Settings!$C$9,"Late",IF(I192-Settings!$C$9&lt;=Settings!$C$12,"Due soon","On track")))))</f>
        <v/>
      </c>
      <c r="L192" s="1"/>
    </row>
    <row r="193" customFormat="false" ht="21.75" hidden="false" customHeight="true" outlineLevel="0" collapsed="false">
      <c r="A193" s="1"/>
      <c r="B193" s="31"/>
      <c r="C193" s="31"/>
      <c r="D193" s="35" t="str">
        <f aca="false">IF(C193="","",IFERROR(INDEX(Products!$C$7:$C$104,MATCH(C193,Products!$B$7:$B$104,0)),"Unknown SKU"))</f>
        <v/>
      </c>
      <c r="E193" s="31"/>
      <c r="F193" s="31"/>
      <c r="G193" s="31"/>
      <c r="H193" s="38"/>
      <c r="I193" s="38"/>
      <c r="J193" s="36" t="str">
        <f aca="false">IF(OR(C193="",I193="",G193="Done"),"",I193-Settings!$C$9)</f>
        <v/>
      </c>
      <c r="K193" s="35" t="str">
        <f aca="false">IF(C193="","",IF(G193="Done","Done",IF(I193="","No due date",IF(I193&lt;Settings!$C$9,"Late",IF(I193-Settings!$C$9&lt;=Settings!$C$12,"Due soon","On track")))))</f>
        <v/>
      </c>
      <c r="L193" s="1"/>
    </row>
    <row r="194" customFormat="false" ht="21.75" hidden="false" customHeight="true" outlineLevel="0" collapsed="false">
      <c r="A194" s="1"/>
      <c r="B194" s="31"/>
      <c r="C194" s="31"/>
      <c r="D194" s="35" t="str">
        <f aca="false">IF(C194="","",IFERROR(INDEX(Products!$C$7:$C$104,MATCH(C194,Products!$B$7:$B$104,0)),"Unknown SKU"))</f>
        <v/>
      </c>
      <c r="E194" s="31"/>
      <c r="F194" s="31"/>
      <c r="G194" s="31"/>
      <c r="H194" s="38"/>
      <c r="I194" s="38"/>
      <c r="J194" s="36" t="str">
        <f aca="false">IF(OR(C194="",I194="",G194="Done"),"",I194-Settings!$C$9)</f>
        <v/>
      </c>
      <c r="K194" s="35" t="str">
        <f aca="false">IF(C194="","",IF(G194="Done","Done",IF(I194="","No due date",IF(I194&lt;Settings!$C$9,"Late",IF(I194-Settings!$C$9&lt;=Settings!$C$12,"Due soon","On track")))))</f>
        <v/>
      </c>
      <c r="L194" s="1"/>
    </row>
    <row r="195" customFormat="false" ht="21.75" hidden="false" customHeight="true" outlineLevel="0" collapsed="false">
      <c r="A195" s="1"/>
      <c r="B195" s="31"/>
      <c r="C195" s="31"/>
      <c r="D195" s="35" t="str">
        <f aca="false">IF(C195="","",IFERROR(INDEX(Products!$C$7:$C$104,MATCH(C195,Products!$B$7:$B$104,0)),"Unknown SKU"))</f>
        <v/>
      </c>
      <c r="E195" s="31"/>
      <c r="F195" s="31"/>
      <c r="G195" s="31"/>
      <c r="H195" s="38"/>
      <c r="I195" s="38"/>
      <c r="J195" s="36" t="str">
        <f aca="false">IF(OR(C195="",I195="",G195="Done"),"",I195-Settings!$C$9)</f>
        <v/>
      </c>
      <c r="K195" s="35" t="str">
        <f aca="false">IF(C195="","",IF(G195="Done","Done",IF(I195="","No due date",IF(I195&lt;Settings!$C$9,"Late",IF(I195-Settings!$C$9&lt;=Settings!$C$12,"Due soon","On track")))))</f>
        <v/>
      </c>
      <c r="L195" s="1"/>
    </row>
    <row r="196" customFormat="false" ht="21.75" hidden="false" customHeight="true" outlineLevel="0" collapsed="false">
      <c r="A196" s="1"/>
      <c r="B196" s="31"/>
      <c r="C196" s="31"/>
      <c r="D196" s="35" t="str">
        <f aca="false">IF(C196="","",IFERROR(INDEX(Products!$C$7:$C$104,MATCH(C196,Products!$B$7:$B$104,0)),"Unknown SKU"))</f>
        <v/>
      </c>
      <c r="E196" s="31"/>
      <c r="F196" s="31"/>
      <c r="G196" s="31"/>
      <c r="H196" s="38"/>
      <c r="I196" s="38"/>
      <c r="J196" s="36" t="str">
        <f aca="false">IF(OR(C196="",I196="",G196="Done"),"",I196-Settings!$C$9)</f>
        <v/>
      </c>
      <c r="K196" s="35" t="str">
        <f aca="false">IF(C196="","",IF(G196="Done","Done",IF(I196="","No due date",IF(I196&lt;Settings!$C$9,"Late",IF(I196-Settings!$C$9&lt;=Settings!$C$12,"Due soon","On track")))))</f>
        <v/>
      </c>
      <c r="L196" s="1"/>
    </row>
    <row r="197" customFormat="false" ht="21.75" hidden="false" customHeight="true" outlineLevel="0" collapsed="false">
      <c r="A197" s="1"/>
      <c r="B197" s="31"/>
      <c r="C197" s="31"/>
      <c r="D197" s="35" t="str">
        <f aca="false">IF(C197="","",IFERROR(INDEX(Products!$C$7:$C$104,MATCH(C197,Products!$B$7:$B$104,0)),"Unknown SKU"))</f>
        <v/>
      </c>
      <c r="E197" s="31"/>
      <c r="F197" s="31"/>
      <c r="G197" s="31"/>
      <c r="H197" s="38"/>
      <c r="I197" s="38"/>
      <c r="J197" s="36" t="str">
        <f aca="false">IF(OR(C197="",I197="",G197="Done"),"",I197-Settings!$C$9)</f>
        <v/>
      </c>
      <c r="K197" s="35" t="str">
        <f aca="false">IF(C197="","",IF(G197="Done","Done",IF(I197="","No due date",IF(I197&lt;Settings!$C$9,"Late",IF(I197-Settings!$C$9&lt;=Settings!$C$12,"Due soon","On track")))))</f>
        <v/>
      </c>
      <c r="L197" s="1"/>
    </row>
    <row r="198" customFormat="false" ht="21.75" hidden="false" customHeight="true" outlineLevel="0" collapsed="false">
      <c r="A198" s="1"/>
      <c r="B198" s="31"/>
      <c r="C198" s="31"/>
      <c r="D198" s="35" t="str">
        <f aca="false">IF(C198="","",IFERROR(INDEX(Products!$C$7:$C$104,MATCH(C198,Products!$B$7:$B$104,0)),"Unknown SKU"))</f>
        <v/>
      </c>
      <c r="E198" s="31"/>
      <c r="F198" s="31"/>
      <c r="G198" s="31"/>
      <c r="H198" s="38"/>
      <c r="I198" s="38"/>
      <c r="J198" s="36" t="str">
        <f aca="false">IF(OR(C198="",I198="",G198="Done"),"",I198-Settings!$C$9)</f>
        <v/>
      </c>
      <c r="K198" s="35" t="str">
        <f aca="false">IF(C198="","",IF(G198="Done","Done",IF(I198="","No due date",IF(I198&lt;Settings!$C$9,"Late",IF(I198-Settings!$C$9&lt;=Settings!$C$12,"Due soon","On track")))))</f>
        <v/>
      </c>
      <c r="L198" s="1"/>
    </row>
    <row r="199" customFormat="false" ht="21.75" hidden="false" customHeight="true" outlineLevel="0" collapsed="false">
      <c r="A199" s="1"/>
      <c r="B199" s="31"/>
      <c r="C199" s="31"/>
      <c r="D199" s="35" t="str">
        <f aca="false">IF(C199="","",IFERROR(INDEX(Products!$C$7:$C$104,MATCH(C199,Products!$B$7:$B$104,0)),"Unknown SKU"))</f>
        <v/>
      </c>
      <c r="E199" s="31"/>
      <c r="F199" s="31"/>
      <c r="G199" s="31"/>
      <c r="H199" s="38"/>
      <c r="I199" s="38"/>
      <c r="J199" s="36" t="str">
        <f aca="false">IF(OR(C199="",I199="",G199="Done"),"",I199-Settings!$C$9)</f>
        <v/>
      </c>
      <c r="K199" s="35" t="str">
        <f aca="false">IF(C199="","",IF(G199="Done","Done",IF(I199="","No due date",IF(I199&lt;Settings!$C$9,"Late",IF(I199-Settings!$C$9&lt;=Settings!$C$12,"Due soon","On track")))))</f>
        <v/>
      </c>
      <c r="L199" s="1"/>
    </row>
    <row r="200" customFormat="false" ht="21.75" hidden="false" customHeight="true" outlineLevel="0" collapsed="false">
      <c r="A200" s="1"/>
      <c r="B200" s="31"/>
      <c r="C200" s="31"/>
      <c r="D200" s="35" t="str">
        <f aca="false">IF(C200="","",IFERROR(INDEX(Products!$C$7:$C$104,MATCH(C200,Products!$B$7:$B$104,0)),"Unknown SKU"))</f>
        <v/>
      </c>
      <c r="E200" s="31"/>
      <c r="F200" s="31"/>
      <c r="G200" s="31"/>
      <c r="H200" s="38"/>
      <c r="I200" s="38"/>
      <c r="J200" s="36" t="str">
        <f aca="false">IF(OR(C200="",I200="",G200="Done"),"",I200-Settings!$C$9)</f>
        <v/>
      </c>
      <c r="K200" s="35" t="str">
        <f aca="false">IF(C200="","",IF(G200="Done","Done",IF(I200="","No due date",IF(I200&lt;Settings!$C$9,"Late",IF(I200-Settings!$C$9&lt;=Settings!$C$12,"Due soon","On track")))))</f>
        <v/>
      </c>
      <c r="L200" s="1"/>
    </row>
    <row r="201" customFormat="false" ht="21.75" hidden="false" customHeight="true" outlineLevel="0" collapsed="false">
      <c r="A201" s="1"/>
      <c r="B201" s="31"/>
      <c r="C201" s="31"/>
      <c r="D201" s="35" t="str">
        <f aca="false">IF(C201="","",IFERROR(INDEX(Products!$C$7:$C$104,MATCH(C201,Products!$B$7:$B$104,0)),"Unknown SKU"))</f>
        <v/>
      </c>
      <c r="E201" s="31"/>
      <c r="F201" s="31"/>
      <c r="G201" s="31"/>
      <c r="H201" s="38"/>
      <c r="I201" s="38"/>
      <c r="J201" s="36" t="str">
        <f aca="false">IF(OR(C201="",I201="",G201="Done"),"",I201-Settings!$C$9)</f>
        <v/>
      </c>
      <c r="K201" s="35" t="str">
        <f aca="false">IF(C201="","",IF(G201="Done","Done",IF(I201="","No due date",IF(I201&lt;Settings!$C$9,"Late",IF(I201-Settings!$C$9&lt;=Settings!$C$12,"Due soon","On track")))))</f>
        <v/>
      </c>
      <c r="L201" s="1"/>
    </row>
    <row r="202" customFormat="false" ht="21.75" hidden="false" customHeight="true" outlineLevel="0" collapsed="false">
      <c r="A202" s="1"/>
      <c r="B202" s="31"/>
      <c r="C202" s="31"/>
      <c r="D202" s="35" t="str">
        <f aca="false">IF(C202="","",IFERROR(INDEX(Products!$C$7:$C$104,MATCH(C202,Products!$B$7:$B$104,0)),"Unknown SKU"))</f>
        <v/>
      </c>
      <c r="E202" s="31"/>
      <c r="F202" s="31"/>
      <c r="G202" s="31"/>
      <c r="H202" s="38"/>
      <c r="I202" s="38"/>
      <c r="J202" s="36" t="str">
        <f aca="false">IF(OR(C202="",I202="",G202="Done"),"",I202-Settings!$C$9)</f>
        <v/>
      </c>
      <c r="K202" s="35" t="str">
        <f aca="false">IF(C202="","",IF(G202="Done","Done",IF(I202="","No due date",IF(I202&lt;Settings!$C$9,"Late",IF(I202-Settings!$C$9&lt;=Settings!$C$12,"Due soon","On track")))))</f>
        <v/>
      </c>
      <c r="L202" s="1"/>
    </row>
    <row r="203" customFormat="false" ht="21.75" hidden="false" customHeight="true" outlineLevel="0" collapsed="false">
      <c r="A203" s="1"/>
      <c r="B203" s="31"/>
      <c r="C203" s="31"/>
      <c r="D203" s="35" t="str">
        <f aca="false">IF(C203="","",IFERROR(INDEX(Products!$C$7:$C$104,MATCH(C203,Products!$B$7:$B$104,0)),"Unknown SKU"))</f>
        <v/>
      </c>
      <c r="E203" s="31"/>
      <c r="F203" s="31"/>
      <c r="G203" s="31"/>
      <c r="H203" s="38"/>
      <c r="I203" s="38"/>
      <c r="J203" s="36" t="str">
        <f aca="false">IF(OR(C203="",I203="",G203="Done"),"",I203-Settings!$C$9)</f>
        <v/>
      </c>
      <c r="K203" s="35" t="str">
        <f aca="false">IF(C203="","",IF(G203="Done","Done",IF(I203="","No due date",IF(I203&lt;Settings!$C$9,"Late",IF(I203-Settings!$C$9&lt;=Settings!$C$12,"Due soon","On track")))))</f>
        <v/>
      </c>
      <c r="L203" s="1"/>
    </row>
    <row r="204" customFormat="false" ht="21.75" hidden="false" customHeight="true" outlineLevel="0" collapsed="false">
      <c r="A204" s="1"/>
      <c r="B204" s="31"/>
      <c r="C204" s="31"/>
      <c r="D204" s="35" t="str">
        <f aca="false">IF(C204="","",IFERROR(INDEX(Products!$C$7:$C$104,MATCH(C204,Products!$B$7:$B$104,0)),"Unknown SKU"))</f>
        <v/>
      </c>
      <c r="E204" s="31"/>
      <c r="F204" s="31"/>
      <c r="G204" s="31"/>
      <c r="H204" s="38"/>
      <c r="I204" s="38"/>
      <c r="J204" s="36" t="str">
        <f aca="false">IF(OR(C204="",I204="",G204="Done"),"",I204-Settings!$C$9)</f>
        <v/>
      </c>
      <c r="K204" s="35" t="str">
        <f aca="false">IF(C204="","",IF(G204="Done","Done",IF(I204="","No due date",IF(I204&lt;Settings!$C$9,"Late",IF(I204-Settings!$C$9&lt;=Settings!$C$12,"Due soon","On track")))))</f>
        <v/>
      </c>
      <c r="L204" s="1"/>
    </row>
    <row r="205" customFormat="false" ht="21.75" hidden="false" customHeight="true" outlineLevel="0" collapsed="false">
      <c r="A205" s="1"/>
      <c r="B205" s="1"/>
      <c r="C205" s="1"/>
      <c r="D205" s="1"/>
      <c r="E205" s="1"/>
      <c r="F205" s="1"/>
      <c r="G205" s="1"/>
      <c r="H205" s="1"/>
      <c r="I205" s="1"/>
      <c r="J205" s="1"/>
      <c r="K205" s="1"/>
      <c r="L205" s="1"/>
    </row>
    <row r="206" customFormat="false" ht="21.75" hidden="false" customHeight="true" outlineLevel="0" collapsed="false">
      <c r="A206" s="1"/>
      <c r="B206" s="1"/>
      <c r="C206" s="1"/>
      <c r="D206" s="1"/>
      <c r="E206" s="1"/>
      <c r="F206" s="1"/>
      <c r="G206" s="1"/>
      <c r="H206" s="1"/>
      <c r="I206" s="1"/>
      <c r="J206" s="1"/>
      <c r="K206" s="1"/>
      <c r="L206" s="1"/>
    </row>
  </sheetData>
  <sheetProtection sheet="true" formatColumns="false" formatRows="false" sort="false" autoFilter="false"/>
  <autoFilter ref="B6:K204"/>
  <conditionalFormatting sqref="K7:K204">
    <cfRule type="expression" priority="2" aboveAverage="0" equalAverage="0" bottom="0" percent="0" rank="0" text="" dxfId="8">
      <formula>K7="Late"</formula>
    </cfRule>
    <cfRule type="expression" priority="3" aboveAverage="0" equalAverage="0" bottom="0" percent="0" rank="0" text="" dxfId="14">
      <formula>K7="Due soon"</formula>
    </cfRule>
    <cfRule type="expression" priority="4" aboveAverage="0" equalAverage="0" bottom="0" percent="0" rank="0" text="" dxfId="10">
      <formula>K7="Done"</formula>
    </cfRule>
  </conditionalFormatting>
  <dataValidations count="2">
    <dataValidation allowBlank="true" errorStyle="stop" operator="between" showDropDown="false" showErrorMessage="false" showInputMessage="false" sqref="C7:C204" type="list">
      <formula1>Products!$B$7:$B$104</formula1>
      <formula2>0</formula2>
    </dataValidation>
    <dataValidation allowBlank="true" errorStyle="stop" operator="between" showDropDown="false" showErrorMessage="false" showInputMessage="false" sqref="G7:G204" type="list">
      <formula1>Settings!$E$7:$E$12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2026-10-16T13:37:43Z</dcterms:created>
  <dc:creator>openpyxl</dc:creator>
  <dc:description/>
  <dc:language>en-US</dc:language>
  <cp:lastModifiedBy/>
  <dcterms:modified xsi:type="dcterms:W3CDTF">2026-10-16T14:37:47Z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